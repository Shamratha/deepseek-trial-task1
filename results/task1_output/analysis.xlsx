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Destination Summary" sheetId="2" state="visible" r:id="rId2"/>
    <sheet name="Monthly Summary" sheetId="3" state="visible" r:id="rId3"/>
    <sheet name="Ke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destination</t>
        </is>
      </c>
      <c r="C1" s="1" t="inlineStr">
        <is>
          <t>region</t>
        </is>
      </c>
      <c r="D1" s="1" t="inlineStr">
        <is>
          <t>bookings</t>
        </is>
      </c>
      <c r="E1" s="1" t="inlineStr">
        <is>
          <t>gross_revenue</t>
        </is>
      </c>
      <c r="F1" s="1" t="inlineStr">
        <is>
          <t>refunds</t>
        </is>
      </c>
      <c r="G1" s="1" t="inlineStr">
        <is>
          <t>marketing_spend</t>
        </is>
      </c>
      <c r="H1" s="1" t="inlineStr">
        <is>
          <t>customer_rating</t>
        </is>
      </c>
      <c r="I1" s="1" t="inlineStr">
        <is>
          <t>cancellations</t>
        </is>
      </c>
      <c r="J1" s="1" t="inlineStr">
        <is>
          <t>avg_trip_days</t>
        </is>
      </c>
    </row>
    <row r="2">
      <c r="A2" t="inlineStr">
        <is>
          <t>2025-01</t>
        </is>
      </c>
      <c r="B2" t="inlineStr">
        <is>
          <t>Paris</t>
        </is>
      </c>
      <c r="C2" t="inlineStr">
        <is>
          <t>Europe</t>
        </is>
      </c>
      <c r="D2" t="n">
        <v>408</v>
      </c>
      <c r="E2" t="n">
        <v>379436.95</v>
      </c>
      <c r="F2" t="n">
        <v>6167.7</v>
      </c>
      <c r="G2" t="n">
        <v>93239.96000000001</v>
      </c>
      <c r="H2" t="n">
        <v>4.55</v>
      </c>
      <c r="I2" t="n">
        <v>18</v>
      </c>
      <c r="J2" t="n">
        <v>4.6</v>
      </c>
    </row>
    <row r="3">
      <c r="A3" t="inlineStr">
        <is>
          <t>2025-02</t>
        </is>
      </c>
      <c r="B3" t="inlineStr">
        <is>
          <t>Paris</t>
        </is>
      </c>
      <c r="C3" t="inlineStr">
        <is>
          <t>Europe</t>
        </is>
      </c>
      <c r="D3" t="n">
        <v>471</v>
      </c>
      <c r="E3" t="n">
        <v>409571.92</v>
      </c>
      <c r="F3" t="n">
        <v>6725.41</v>
      </c>
      <c r="G3" t="n">
        <v>93398.5</v>
      </c>
      <c r="H3" t="n">
        <v>4.49</v>
      </c>
      <c r="I3" t="n">
        <v>18</v>
      </c>
      <c r="J3" t="n">
        <v>5</v>
      </c>
    </row>
    <row r="4">
      <c r="A4" t="inlineStr">
        <is>
          <t>2025-03</t>
        </is>
      </c>
      <c r="B4" t="inlineStr">
        <is>
          <t>Paris</t>
        </is>
      </c>
      <c r="C4" t="inlineStr">
        <is>
          <t>Europe</t>
        </is>
      </c>
      <c r="D4" t="n">
        <v>545</v>
      </c>
      <c r="E4" t="n">
        <v>497773.94</v>
      </c>
      <c r="F4" t="n">
        <v>7472.04</v>
      </c>
      <c r="G4" t="n">
        <v>97372.88</v>
      </c>
      <c r="H4" t="n">
        <v>4.67</v>
      </c>
      <c r="I4" t="n">
        <v>21</v>
      </c>
      <c r="J4" t="n">
        <v>4.6</v>
      </c>
    </row>
    <row r="5">
      <c r="A5" t="inlineStr">
        <is>
          <t>2025-04</t>
        </is>
      </c>
      <c r="B5" t="inlineStr">
        <is>
          <t>Paris</t>
        </is>
      </c>
      <c r="C5" t="inlineStr">
        <is>
          <t>Europe</t>
        </is>
      </c>
      <c r="D5" t="n">
        <v>565</v>
      </c>
      <c r="E5" t="n">
        <v>524190.42</v>
      </c>
      <c r="F5" t="n">
        <v>8471.33</v>
      </c>
      <c r="G5" t="n">
        <v>90516.28</v>
      </c>
      <c r="H5" t="n">
        <v>4.6</v>
      </c>
      <c r="I5" t="n">
        <v>23</v>
      </c>
      <c r="J5" t="n">
        <v>4.7</v>
      </c>
    </row>
    <row r="6">
      <c r="A6" t="inlineStr">
        <is>
          <t>2025-05</t>
        </is>
      </c>
      <c r="B6" t="inlineStr">
        <is>
          <t>Paris</t>
        </is>
      </c>
      <c r="C6" t="inlineStr">
        <is>
          <t>Europe</t>
        </is>
      </c>
      <c r="D6" t="n">
        <v>619</v>
      </c>
      <c r="E6" t="n">
        <v>581628.3100000001</v>
      </c>
      <c r="F6" t="n">
        <v>8789.25</v>
      </c>
      <c r="G6" t="n">
        <v>93978.31</v>
      </c>
      <c r="H6" t="n">
        <v>4.69</v>
      </c>
      <c r="I6" t="n">
        <v>23</v>
      </c>
      <c r="J6" t="n">
        <v>5.1</v>
      </c>
    </row>
    <row r="7">
      <c r="A7" t="inlineStr">
        <is>
          <t>2025-06</t>
        </is>
      </c>
      <c r="B7" t="inlineStr">
        <is>
          <t>Paris</t>
        </is>
      </c>
      <c r="C7" t="inlineStr">
        <is>
          <t>Europe</t>
        </is>
      </c>
      <c r="D7" t="n">
        <v>469</v>
      </c>
      <c r="E7" t="n">
        <v>439125.55</v>
      </c>
      <c r="F7" t="n">
        <v>6652.69</v>
      </c>
      <c r="G7" t="n">
        <v>96187.3</v>
      </c>
      <c r="H7" t="n">
        <v>4.54</v>
      </c>
      <c r="I7" t="n">
        <v>17</v>
      </c>
      <c r="J7" t="n">
        <v>4.6</v>
      </c>
    </row>
    <row r="8">
      <c r="A8" t="inlineStr">
        <is>
          <t>2025-07</t>
        </is>
      </c>
      <c r="B8" t="inlineStr">
        <is>
          <t>Paris</t>
        </is>
      </c>
      <c r="C8" t="inlineStr">
        <is>
          <t>Europe</t>
        </is>
      </c>
      <c r="D8" t="n">
        <v>523</v>
      </c>
      <c r="E8" t="n">
        <v>478037.25</v>
      </c>
      <c r="F8" t="n">
        <v>8543.32</v>
      </c>
      <c r="G8" t="n">
        <v>101867.63</v>
      </c>
      <c r="H8" t="n">
        <v>4.53</v>
      </c>
      <c r="I8" t="n">
        <v>19</v>
      </c>
      <c r="J8" t="n">
        <v>4.9</v>
      </c>
    </row>
    <row r="9">
      <c r="A9" t="inlineStr">
        <is>
          <t>2025-08</t>
        </is>
      </c>
      <c r="B9" t="inlineStr">
        <is>
          <t>Paris</t>
        </is>
      </c>
      <c r="C9" t="inlineStr">
        <is>
          <t>Europe</t>
        </is>
      </c>
      <c r="D9" t="n">
        <v>425</v>
      </c>
      <c r="E9" t="n">
        <v>381798.52</v>
      </c>
      <c r="F9" t="n">
        <v>6867.93</v>
      </c>
      <c r="G9" t="n">
        <v>100867.03</v>
      </c>
      <c r="H9" t="n">
        <v>4.66</v>
      </c>
      <c r="I9" t="n">
        <v>18</v>
      </c>
      <c r="J9" t="n">
        <v>4.7</v>
      </c>
    </row>
    <row r="10">
      <c r="A10" t="inlineStr">
        <is>
          <t>2025-09</t>
        </is>
      </c>
      <c r="B10" t="inlineStr">
        <is>
          <t>Paris</t>
        </is>
      </c>
      <c r="C10" t="inlineStr">
        <is>
          <t>Europe</t>
        </is>
      </c>
      <c r="D10" t="n">
        <v>276</v>
      </c>
      <c r="E10" t="n">
        <v>252453.33</v>
      </c>
      <c r="F10" t="n">
        <v>4208.08</v>
      </c>
      <c r="G10" t="n">
        <v>94074.98</v>
      </c>
      <c r="H10" t="n">
        <v>4.61</v>
      </c>
      <c r="I10" t="n">
        <v>10</v>
      </c>
      <c r="J10" t="n">
        <v>4.8</v>
      </c>
    </row>
    <row r="11">
      <c r="A11" t="inlineStr">
        <is>
          <t>2025-10</t>
        </is>
      </c>
      <c r="B11" t="inlineStr">
        <is>
          <t>Paris</t>
        </is>
      </c>
      <c r="C11" t="inlineStr">
        <is>
          <t>Europe</t>
        </is>
      </c>
      <c r="D11" t="n">
        <v>330</v>
      </c>
      <c r="E11" t="n">
        <v>299923.55</v>
      </c>
      <c r="F11" t="n">
        <v>4379.6</v>
      </c>
      <c r="G11" t="n">
        <v>113092.22</v>
      </c>
      <c r="H11" t="n">
        <v>4.5</v>
      </c>
      <c r="I11" t="n">
        <v>12</v>
      </c>
      <c r="J11" t="n">
        <v>5.1</v>
      </c>
    </row>
    <row r="12">
      <c r="A12" t="inlineStr">
        <is>
          <t>2025-11</t>
        </is>
      </c>
      <c r="B12" t="inlineStr">
        <is>
          <t>Paris</t>
        </is>
      </c>
      <c r="C12" t="inlineStr">
        <is>
          <t>Europe</t>
        </is>
      </c>
      <c r="D12" t="n">
        <v>245</v>
      </c>
      <c r="E12" t="n">
        <v>237226.88</v>
      </c>
      <c r="F12" t="n">
        <v>4200.91</v>
      </c>
      <c r="G12" t="n">
        <v>98233.41</v>
      </c>
      <c r="H12" t="n">
        <v>4.65</v>
      </c>
      <c r="I12" t="n">
        <v>10</v>
      </c>
      <c r="J12" t="n">
        <v>4.6</v>
      </c>
    </row>
    <row r="13">
      <c r="A13" t="inlineStr">
        <is>
          <t>2025-12</t>
        </is>
      </c>
      <c r="B13" t="inlineStr">
        <is>
          <t>Paris</t>
        </is>
      </c>
      <c r="C13" t="inlineStr">
        <is>
          <t>Europe</t>
        </is>
      </c>
      <c r="D13" t="n">
        <v>300</v>
      </c>
      <c r="E13" t="n">
        <v>275851.35</v>
      </c>
      <c r="F13" t="n">
        <v>4870.04</v>
      </c>
      <c r="G13" t="n">
        <v>106044.58</v>
      </c>
      <c r="H13" t="n">
        <v>4.67</v>
      </c>
      <c r="I13" t="n">
        <v>12</v>
      </c>
      <c r="J13" t="n">
        <v>5</v>
      </c>
    </row>
    <row r="14">
      <c r="A14" t="inlineStr">
        <is>
          <t>2025-01</t>
        </is>
      </c>
      <c r="B14" t="inlineStr">
        <is>
          <t>Tokyo</t>
        </is>
      </c>
      <c r="C14" t="inlineStr">
        <is>
          <t>Asia</t>
        </is>
      </c>
      <c r="D14" t="n">
        <v>471</v>
      </c>
      <c r="E14" t="n">
        <v>548561.22</v>
      </c>
      <c r="F14" t="n">
        <v>12638.13</v>
      </c>
      <c r="G14" t="n">
        <v>97378.39</v>
      </c>
      <c r="H14" t="n">
        <v>4.46</v>
      </c>
      <c r="I14" t="n">
        <v>26</v>
      </c>
      <c r="J14" t="n">
        <v>4.3</v>
      </c>
    </row>
    <row r="15">
      <c r="A15" t="inlineStr">
        <is>
          <t>2025-02</t>
        </is>
      </c>
      <c r="B15" t="inlineStr">
        <is>
          <t>Tokyo</t>
        </is>
      </c>
      <c r="C15" t="inlineStr">
        <is>
          <t>Asia</t>
        </is>
      </c>
      <c r="D15" t="n">
        <v>634</v>
      </c>
      <c r="E15" t="n">
        <v>714370.6</v>
      </c>
      <c r="F15" t="n">
        <v>16385.41</v>
      </c>
      <c r="G15" t="n">
        <v>108677.16</v>
      </c>
      <c r="H15" t="n">
        <v>4.41</v>
      </c>
      <c r="I15" t="n">
        <v>37</v>
      </c>
      <c r="J15" t="n">
        <v>4.8</v>
      </c>
    </row>
    <row r="16">
      <c r="A16" t="inlineStr">
        <is>
          <t>2025-03</t>
        </is>
      </c>
      <c r="B16" t="inlineStr">
        <is>
          <t>Tokyo</t>
        </is>
      </c>
      <c r="C16" t="inlineStr">
        <is>
          <t>Asia</t>
        </is>
      </c>
      <c r="D16" t="n">
        <v>664</v>
      </c>
      <c r="E16" t="n">
        <v>753838.52</v>
      </c>
      <c r="F16" t="n">
        <v>17617.36</v>
      </c>
      <c r="G16" t="n">
        <v>93937.21000000001</v>
      </c>
      <c r="H16" t="n">
        <v>4.57</v>
      </c>
      <c r="I16" t="n">
        <v>35</v>
      </c>
      <c r="J16" t="n">
        <v>4.4</v>
      </c>
    </row>
    <row r="17">
      <c r="A17" t="inlineStr">
        <is>
          <t>2025-04</t>
        </is>
      </c>
      <c r="B17" t="inlineStr">
        <is>
          <t>Tokyo</t>
        </is>
      </c>
      <c r="C17" t="inlineStr">
        <is>
          <t>Asia</t>
        </is>
      </c>
      <c r="D17" t="n">
        <v>603</v>
      </c>
      <c r="E17" t="n">
        <v>720991.59</v>
      </c>
      <c r="F17" t="n">
        <v>17698.48</v>
      </c>
      <c r="G17" t="n">
        <v>110196.67</v>
      </c>
      <c r="H17" t="n">
        <v>4.53</v>
      </c>
      <c r="I17" t="n">
        <v>32</v>
      </c>
      <c r="J17" t="n">
        <v>4.3</v>
      </c>
    </row>
    <row r="18">
      <c r="A18" t="inlineStr">
        <is>
          <t>2025-05</t>
        </is>
      </c>
      <c r="B18" t="inlineStr">
        <is>
          <t>Tokyo</t>
        </is>
      </c>
      <c r="C18" t="inlineStr">
        <is>
          <t>Asia</t>
        </is>
      </c>
      <c r="D18" t="n">
        <v>621</v>
      </c>
      <c r="E18" t="n">
        <v>679425.17</v>
      </c>
      <c r="F18" t="n">
        <v>14493.96</v>
      </c>
      <c r="G18" t="n">
        <v>102923.49</v>
      </c>
      <c r="H18" t="n">
        <v>4.61</v>
      </c>
      <c r="I18" t="n">
        <v>35</v>
      </c>
      <c r="J18" t="n">
        <v>4.5</v>
      </c>
    </row>
    <row r="19">
      <c r="A19" t="inlineStr">
        <is>
          <t>2025-06</t>
        </is>
      </c>
      <c r="B19" t="inlineStr">
        <is>
          <t>Tokyo</t>
        </is>
      </c>
      <c r="C19" t="inlineStr">
        <is>
          <t>Asia</t>
        </is>
      </c>
      <c r="D19" t="n">
        <v>598</v>
      </c>
      <c r="E19" t="n">
        <v>691533.22</v>
      </c>
      <c r="F19" t="n">
        <v>16110.26</v>
      </c>
      <c r="G19" t="n">
        <v>102951.04</v>
      </c>
      <c r="H19" t="n">
        <v>4.44</v>
      </c>
      <c r="I19" t="n">
        <v>32</v>
      </c>
      <c r="J19" t="n">
        <v>4.3</v>
      </c>
    </row>
    <row r="20">
      <c r="A20" t="inlineStr">
        <is>
          <t>2025-07</t>
        </is>
      </c>
      <c r="B20" t="inlineStr">
        <is>
          <t>Tokyo</t>
        </is>
      </c>
      <c r="C20" t="inlineStr">
        <is>
          <t>Asia</t>
        </is>
      </c>
      <c r="D20" t="n">
        <v>520</v>
      </c>
      <c r="E20" t="n">
        <v>575369.88</v>
      </c>
      <c r="F20" t="n">
        <v>12287.61</v>
      </c>
      <c r="G20" t="n">
        <v>117349.48</v>
      </c>
      <c r="H20" t="n">
        <v>4.42</v>
      </c>
      <c r="I20" t="n">
        <v>28</v>
      </c>
      <c r="J20" t="n">
        <v>4.5</v>
      </c>
    </row>
    <row r="21">
      <c r="A21" t="inlineStr">
        <is>
          <t>2025-08</t>
        </is>
      </c>
      <c r="B21" t="inlineStr">
        <is>
          <t>Tokyo</t>
        </is>
      </c>
      <c r="C21" t="inlineStr">
        <is>
          <t>Asia</t>
        </is>
      </c>
      <c r="D21" t="n">
        <v>383</v>
      </c>
      <c r="E21" t="n">
        <v>440756.26</v>
      </c>
      <c r="F21" t="n">
        <v>9785.68</v>
      </c>
      <c r="G21" t="n">
        <v>111941.43</v>
      </c>
      <c r="H21" t="n">
        <v>4.6</v>
      </c>
      <c r="I21" t="n">
        <v>22</v>
      </c>
      <c r="J21" t="n">
        <v>4.8</v>
      </c>
    </row>
    <row r="22">
      <c r="A22" t="inlineStr">
        <is>
          <t>2025-09</t>
        </is>
      </c>
      <c r="B22" t="inlineStr">
        <is>
          <t>Tokyo</t>
        </is>
      </c>
      <c r="C22" t="inlineStr">
        <is>
          <t>Asia</t>
        </is>
      </c>
      <c r="D22" t="n">
        <v>385</v>
      </c>
      <c r="E22" t="n">
        <v>468037.5</v>
      </c>
      <c r="F22" t="n">
        <v>10638.71</v>
      </c>
      <c r="G22" t="n">
        <v>121352.85</v>
      </c>
      <c r="H22" t="n">
        <v>4.49</v>
      </c>
      <c r="I22" t="n">
        <v>22</v>
      </c>
      <c r="J22" t="n">
        <v>4.5</v>
      </c>
    </row>
    <row r="23">
      <c r="A23" t="inlineStr">
        <is>
          <t>2025-10</t>
        </is>
      </c>
      <c r="B23" t="inlineStr">
        <is>
          <t>Tokyo</t>
        </is>
      </c>
      <c r="C23" t="inlineStr">
        <is>
          <t>Asia</t>
        </is>
      </c>
      <c r="D23" t="n">
        <v>356</v>
      </c>
      <c r="E23" t="n">
        <v>402337.57</v>
      </c>
      <c r="F23" t="n">
        <v>9922.76</v>
      </c>
      <c r="G23" t="n">
        <v>113850.38</v>
      </c>
      <c r="H23" t="n">
        <v>4.53</v>
      </c>
      <c r="I23" t="n">
        <v>19</v>
      </c>
      <c r="J23" t="n">
        <v>4.8</v>
      </c>
    </row>
    <row r="24">
      <c r="A24" t="inlineStr">
        <is>
          <t>2025-11</t>
        </is>
      </c>
      <c r="B24" t="inlineStr">
        <is>
          <t>Tokyo</t>
        </is>
      </c>
      <c r="C24" t="inlineStr">
        <is>
          <t>Asia</t>
        </is>
      </c>
      <c r="D24" t="n">
        <v>332</v>
      </c>
      <c r="E24" t="n">
        <v>356862.48</v>
      </c>
      <c r="F24" t="n">
        <v>8166.61</v>
      </c>
      <c r="G24" t="n">
        <v>115356.81</v>
      </c>
      <c r="H24" t="n">
        <v>4.44</v>
      </c>
      <c r="I24" t="n">
        <v>18</v>
      </c>
      <c r="J24" t="n">
        <v>4.4</v>
      </c>
    </row>
    <row r="25">
      <c r="A25" t="inlineStr">
        <is>
          <t>2025-12</t>
        </is>
      </c>
      <c r="B25" t="inlineStr">
        <is>
          <t>Tokyo</t>
        </is>
      </c>
      <c r="C25" t="inlineStr">
        <is>
          <t>Asia</t>
        </is>
      </c>
      <c r="D25" t="n">
        <v>395</v>
      </c>
      <c r="E25" t="n">
        <v>437059.37</v>
      </c>
      <c r="F25" t="n">
        <v>9396.610000000001</v>
      </c>
      <c r="G25" t="n">
        <v>118929.83</v>
      </c>
      <c r="H25" t="n">
        <v>4.56</v>
      </c>
      <c r="I25" t="n">
        <v>21</v>
      </c>
      <c r="J25" t="n">
        <v>4.2</v>
      </c>
    </row>
    <row r="26">
      <c r="A26" t="inlineStr">
        <is>
          <t>2025-01</t>
        </is>
      </c>
      <c r="B26" t="inlineStr">
        <is>
          <t>Sydney</t>
        </is>
      </c>
      <c r="C26" t="inlineStr">
        <is>
          <t>Oceania</t>
        </is>
      </c>
      <c r="D26" t="n">
        <v>728</v>
      </c>
      <c r="E26" t="n">
        <v>978858.13</v>
      </c>
      <c r="F26" t="n">
        <v>31086.05</v>
      </c>
      <c r="G26" t="n">
        <v>107502.22</v>
      </c>
      <c r="H26" t="n">
        <v>4.53</v>
      </c>
      <c r="I26" t="n">
        <v>54</v>
      </c>
      <c r="J26" t="n">
        <v>4</v>
      </c>
    </row>
    <row r="27">
      <c r="A27" t="inlineStr">
        <is>
          <t>2025-02</t>
        </is>
      </c>
      <c r="B27" t="inlineStr">
        <is>
          <t>Sydney</t>
        </is>
      </c>
      <c r="C27" t="inlineStr">
        <is>
          <t>Oceania</t>
        </is>
      </c>
      <c r="D27" t="n">
        <v>736</v>
      </c>
      <c r="E27" t="n">
        <v>982115.2</v>
      </c>
      <c r="F27" t="n">
        <v>30198.75</v>
      </c>
      <c r="G27" t="n">
        <v>110952.63</v>
      </c>
      <c r="H27" t="n">
        <v>4.39</v>
      </c>
      <c r="I27" t="n">
        <v>49</v>
      </c>
      <c r="J27" t="n">
        <v>3.6</v>
      </c>
    </row>
    <row r="28">
      <c r="A28" t="inlineStr">
        <is>
          <t>2025-03</t>
        </is>
      </c>
      <c r="B28" t="inlineStr">
        <is>
          <t>Sydney</t>
        </is>
      </c>
      <c r="C28" t="inlineStr">
        <is>
          <t>Oceania</t>
        </is>
      </c>
      <c r="D28" t="n">
        <v>734</v>
      </c>
      <c r="E28" t="n">
        <v>957702.77</v>
      </c>
      <c r="F28" t="n">
        <v>28155.31</v>
      </c>
      <c r="G28" t="n">
        <v>120137.37</v>
      </c>
      <c r="H28" t="n">
        <v>4.49</v>
      </c>
      <c r="I28" t="n">
        <v>51</v>
      </c>
      <c r="J28" t="n">
        <v>3.7</v>
      </c>
    </row>
    <row r="29">
      <c r="A29" t="inlineStr">
        <is>
          <t>2025-04</t>
        </is>
      </c>
      <c r="B29" t="inlineStr">
        <is>
          <t>Sydney</t>
        </is>
      </c>
      <c r="C29" t="inlineStr">
        <is>
          <t>Oceania</t>
        </is>
      </c>
      <c r="D29" t="n">
        <v>700</v>
      </c>
      <c r="E29" t="n">
        <v>988530.0600000001</v>
      </c>
      <c r="F29" t="n">
        <v>28254.59</v>
      </c>
      <c r="G29" t="n">
        <v>114792.79</v>
      </c>
      <c r="H29" t="n">
        <v>4.48</v>
      </c>
      <c r="I29" t="n">
        <v>51</v>
      </c>
      <c r="J29" t="n">
        <v>3.9</v>
      </c>
    </row>
    <row r="30">
      <c r="A30" t="inlineStr">
        <is>
          <t>2025-05</t>
        </is>
      </c>
      <c r="B30" t="inlineStr">
        <is>
          <t>Sydney</t>
        </is>
      </c>
      <c r="C30" t="inlineStr">
        <is>
          <t>Oceania</t>
        </is>
      </c>
      <c r="D30" t="n">
        <v>650</v>
      </c>
      <c r="E30" t="n">
        <v>860295.85</v>
      </c>
      <c r="F30" t="n">
        <v>25913.02</v>
      </c>
      <c r="G30" t="n">
        <v>123584.48</v>
      </c>
      <c r="H30" t="n">
        <v>4.47</v>
      </c>
      <c r="I30" t="n">
        <v>44</v>
      </c>
      <c r="J30" t="n">
        <v>3.6</v>
      </c>
    </row>
    <row r="31">
      <c r="A31" t="inlineStr">
        <is>
          <t>2025-06</t>
        </is>
      </c>
      <c r="B31" t="inlineStr">
        <is>
          <t>Sydney</t>
        </is>
      </c>
      <c r="C31" t="inlineStr">
        <is>
          <t>Oceania</t>
        </is>
      </c>
      <c r="D31" t="n">
        <v>586</v>
      </c>
      <c r="E31" t="n">
        <v>779452.33</v>
      </c>
      <c r="F31" t="n">
        <v>24222.1</v>
      </c>
      <c r="G31" t="n">
        <v>127338.35</v>
      </c>
      <c r="H31" t="n">
        <v>4.45</v>
      </c>
      <c r="I31" t="n">
        <v>42</v>
      </c>
      <c r="J31" t="n">
        <v>3.9</v>
      </c>
    </row>
    <row r="32">
      <c r="A32" t="inlineStr">
        <is>
          <t>2025-07</t>
        </is>
      </c>
      <c r="B32" t="inlineStr">
        <is>
          <t>Sydney</t>
        </is>
      </c>
      <c r="C32" t="inlineStr">
        <is>
          <t>Oceania</t>
        </is>
      </c>
      <c r="D32" t="n">
        <v>512</v>
      </c>
      <c r="E32" t="n">
        <v>705451.36</v>
      </c>
      <c r="F32" t="n">
        <v>21714.6</v>
      </c>
      <c r="G32" t="n">
        <v>118802.46</v>
      </c>
      <c r="H32" t="n">
        <v>4.35</v>
      </c>
      <c r="I32" t="n">
        <v>34</v>
      </c>
      <c r="J32" t="n">
        <v>3.6</v>
      </c>
    </row>
    <row r="33">
      <c r="A33" t="inlineStr">
        <is>
          <t>2025-08</t>
        </is>
      </c>
      <c r="B33" t="inlineStr">
        <is>
          <t>Sydney</t>
        </is>
      </c>
      <c r="C33" t="inlineStr">
        <is>
          <t>Oceania</t>
        </is>
      </c>
      <c r="D33" t="n">
        <v>406</v>
      </c>
      <c r="E33" t="n">
        <v>537384.1899999999</v>
      </c>
      <c r="F33" t="n">
        <v>15084.26</v>
      </c>
      <c r="G33" t="n">
        <v>122840.83</v>
      </c>
      <c r="H33" t="n">
        <v>4.38</v>
      </c>
      <c r="I33" t="n">
        <v>29</v>
      </c>
      <c r="J33" t="n">
        <v>3.9</v>
      </c>
    </row>
    <row r="34">
      <c r="A34" t="inlineStr">
        <is>
          <t>2025-09</t>
        </is>
      </c>
      <c r="B34" t="inlineStr">
        <is>
          <t>Sydney</t>
        </is>
      </c>
      <c r="C34" t="inlineStr">
        <is>
          <t>Oceania</t>
        </is>
      </c>
      <c r="D34" t="n">
        <v>357</v>
      </c>
      <c r="E34" t="n">
        <v>476850.69</v>
      </c>
      <c r="F34" t="n">
        <v>13443.68</v>
      </c>
      <c r="G34" t="n">
        <v>135680.73</v>
      </c>
      <c r="H34" t="n">
        <v>4.34</v>
      </c>
      <c r="I34" t="n">
        <v>26</v>
      </c>
      <c r="J34" t="n">
        <v>4</v>
      </c>
    </row>
    <row r="35">
      <c r="A35" t="inlineStr">
        <is>
          <t>2025-10</t>
        </is>
      </c>
      <c r="B35" t="inlineStr">
        <is>
          <t>Sydney</t>
        </is>
      </c>
      <c r="C35" t="inlineStr">
        <is>
          <t>Oceania</t>
        </is>
      </c>
      <c r="D35" t="n">
        <v>386</v>
      </c>
      <c r="E35" t="n">
        <v>497930.31</v>
      </c>
      <c r="F35" t="n">
        <v>14716.97</v>
      </c>
      <c r="G35" t="n">
        <v>138978.54</v>
      </c>
      <c r="H35" t="n">
        <v>4.41</v>
      </c>
      <c r="I35" t="n">
        <v>26</v>
      </c>
      <c r="J35" t="n">
        <v>3.7</v>
      </c>
    </row>
    <row r="36">
      <c r="A36" t="inlineStr">
        <is>
          <t>2025-11</t>
        </is>
      </c>
      <c r="B36" t="inlineStr">
        <is>
          <t>Sydney</t>
        </is>
      </c>
      <c r="C36" t="inlineStr">
        <is>
          <t>Oceania</t>
        </is>
      </c>
      <c r="D36" t="n">
        <v>389</v>
      </c>
      <c r="E36" t="n">
        <v>515711.29</v>
      </c>
      <c r="F36" t="n">
        <v>14778.01</v>
      </c>
      <c r="G36" t="n">
        <v>137372.02</v>
      </c>
      <c r="H36" t="n">
        <v>4.43</v>
      </c>
      <c r="I36" t="n">
        <v>29</v>
      </c>
      <c r="J36" t="n">
        <v>4</v>
      </c>
    </row>
    <row r="37">
      <c r="A37" t="inlineStr">
        <is>
          <t>2025-12</t>
        </is>
      </c>
      <c r="B37" t="inlineStr">
        <is>
          <t>Sydney</t>
        </is>
      </c>
      <c r="C37" t="inlineStr">
        <is>
          <t>Oceania</t>
        </is>
      </c>
      <c r="D37" t="n">
        <v>583</v>
      </c>
      <c r="E37" t="n">
        <v>796668.23</v>
      </c>
      <c r="F37" t="n">
        <v>23538.74</v>
      </c>
      <c r="G37" t="n">
        <v>132394.31</v>
      </c>
      <c r="H37" t="n">
        <v>4.44</v>
      </c>
      <c r="I37" t="n">
        <v>39</v>
      </c>
      <c r="J37" t="n">
        <v>3.7</v>
      </c>
    </row>
    <row r="38">
      <c r="A38" t="inlineStr">
        <is>
          <t>2025-01</t>
        </is>
      </c>
      <c r="B38" t="inlineStr">
        <is>
          <t>New York</t>
        </is>
      </c>
      <c r="C38" t="inlineStr">
        <is>
          <t>North America</t>
        </is>
      </c>
      <c r="D38" t="n">
        <v>577</v>
      </c>
      <c r="E38" t="n">
        <v>896483.3100000001</v>
      </c>
      <c r="F38" t="n">
        <v>34471.23</v>
      </c>
      <c r="G38" t="n">
        <v>124463.7</v>
      </c>
      <c r="H38" t="n">
        <v>4.33</v>
      </c>
      <c r="I38" t="n">
        <v>50</v>
      </c>
      <c r="J38" t="n">
        <v>5.3</v>
      </c>
    </row>
    <row r="39">
      <c r="A39" t="inlineStr">
        <is>
          <t>2025-02</t>
        </is>
      </c>
      <c r="B39" t="inlineStr">
        <is>
          <t>New York</t>
        </is>
      </c>
      <c r="C39" t="inlineStr">
        <is>
          <t>North America</t>
        </is>
      </c>
      <c r="D39" t="n">
        <v>635</v>
      </c>
      <c r="E39" t="n">
        <v>1017456.03</v>
      </c>
      <c r="F39" t="n">
        <v>36038.22</v>
      </c>
      <c r="G39" t="n">
        <v>128805.25</v>
      </c>
      <c r="H39" t="n">
        <v>4.29</v>
      </c>
      <c r="I39" t="n">
        <v>54</v>
      </c>
      <c r="J39" t="n">
        <v>5.6</v>
      </c>
    </row>
    <row r="40">
      <c r="A40" t="inlineStr">
        <is>
          <t>2025-03</t>
        </is>
      </c>
      <c r="B40" t="inlineStr">
        <is>
          <t>New York</t>
        </is>
      </c>
      <c r="C40" t="inlineStr">
        <is>
          <t>North America</t>
        </is>
      </c>
      <c r="D40" t="n">
        <v>679</v>
      </c>
      <c r="E40" t="n">
        <v>1052828.05</v>
      </c>
      <c r="F40" t="n">
        <v>38717.74</v>
      </c>
      <c r="G40" t="n">
        <v>134610.95</v>
      </c>
      <c r="H40" t="n">
        <v>4.3</v>
      </c>
      <c r="I40" t="n">
        <v>59</v>
      </c>
      <c r="J40" t="n">
        <v>5.5</v>
      </c>
    </row>
    <row r="41">
      <c r="A41" t="inlineStr">
        <is>
          <t>2025-04</t>
        </is>
      </c>
      <c r="B41" t="inlineStr">
        <is>
          <t>New York</t>
        </is>
      </c>
      <c r="C41" t="inlineStr">
        <is>
          <t>North America</t>
        </is>
      </c>
      <c r="D41" t="n">
        <v>863</v>
      </c>
      <c r="E41" t="n">
        <v>1407535.83</v>
      </c>
      <c r="F41" t="n">
        <v>50244.53</v>
      </c>
      <c r="G41" t="n">
        <v>126615.06</v>
      </c>
      <c r="H41" t="n">
        <v>4.44</v>
      </c>
      <c r="I41" t="n">
        <v>76</v>
      </c>
      <c r="J41" t="n">
        <v>5.8</v>
      </c>
    </row>
    <row r="42">
      <c r="A42" t="inlineStr">
        <is>
          <t>2025-05</t>
        </is>
      </c>
      <c r="B42" t="inlineStr">
        <is>
          <t>New York</t>
        </is>
      </c>
      <c r="C42" t="inlineStr">
        <is>
          <t>North America</t>
        </is>
      </c>
      <c r="D42" t="n">
        <v>834</v>
      </c>
      <c r="E42" t="n">
        <v>1303553.99</v>
      </c>
      <c r="F42" t="n">
        <v>46831.84</v>
      </c>
      <c r="G42" t="n">
        <v>132448.82</v>
      </c>
      <c r="H42" t="n">
        <v>4.37</v>
      </c>
      <c r="I42" t="n">
        <v>68</v>
      </c>
      <c r="J42" t="n">
        <v>5.7</v>
      </c>
    </row>
    <row r="43">
      <c r="A43" t="inlineStr">
        <is>
          <t>2025-06</t>
        </is>
      </c>
      <c r="B43" t="inlineStr">
        <is>
          <t>New York</t>
        </is>
      </c>
      <c r="C43" t="inlineStr">
        <is>
          <t>North America</t>
        </is>
      </c>
      <c r="D43" t="n">
        <v>784</v>
      </c>
      <c r="E43" t="n">
        <v>1221993.62</v>
      </c>
      <c r="F43" t="n">
        <v>42824.79</v>
      </c>
      <c r="G43" t="n">
        <v>136684.66</v>
      </c>
      <c r="H43" t="n">
        <v>4.48</v>
      </c>
      <c r="I43" t="n">
        <v>68</v>
      </c>
      <c r="J43" t="n">
        <v>5.7</v>
      </c>
    </row>
    <row r="44">
      <c r="A44" t="inlineStr">
        <is>
          <t>2025-07</t>
        </is>
      </c>
      <c r="B44" t="inlineStr">
        <is>
          <t>New York</t>
        </is>
      </c>
      <c r="C44" t="inlineStr">
        <is>
          <t>North America</t>
        </is>
      </c>
      <c r="D44" t="n">
        <v>746</v>
      </c>
      <c r="E44" t="n">
        <v>1148031.47</v>
      </c>
      <c r="F44" t="n">
        <v>40409.6</v>
      </c>
      <c r="G44" t="n">
        <v>136926.58</v>
      </c>
      <c r="H44" t="n">
        <v>4.32</v>
      </c>
      <c r="I44" t="n">
        <v>66</v>
      </c>
      <c r="J44" t="n">
        <v>5.5</v>
      </c>
    </row>
    <row r="45">
      <c r="A45" t="inlineStr">
        <is>
          <t>2025-08</t>
        </is>
      </c>
      <c r="B45" t="inlineStr">
        <is>
          <t>New York</t>
        </is>
      </c>
      <c r="C45" t="inlineStr">
        <is>
          <t>North America</t>
        </is>
      </c>
      <c r="D45" t="n">
        <v>725</v>
      </c>
      <c r="E45" t="n">
        <v>1139530.92</v>
      </c>
      <c r="F45" t="n">
        <v>41461.77</v>
      </c>
      <c r="G45" t="n">
        <v>136935.93</v>
      </c>
      <c r="H45" t="n">
        <v>4.26</v>
      </c>
      <c r="I45" t="n">
        <v>61</v>
      </c>
      <c r="J45" t="n">
        <v>5.8</v>
      </c>
    </row>
    <row r="46">
      <c r="A46" t="inlineStr">
        <is>
          <t>2025-09</t>
        </is>
      </c>
      <c r="B46" t="inlineStr">
        <is>
          <t>New York</t>
        </is>
      </c>
      <c r="C46" t="inlineStr">
        <is>
          <t>North America</t>
        </is>
      </c>
      <c r="D46" t="n">
        <v>526</v>
      </c>
      <c r="E46" t="n">
        <v>783653.8100000001</v>
      </c>
      <c r="F46" t="n">
        <v>28693.36</v>
      </c>
      <c r="G46" t="n">
        <v>156737.49</v>
      </c>
      <c r="H46" t="n">
        <v>4.42</v>
      </c>
      <c r="I46" t="n">
        <v>47</v>
      </c>
      <c r="J46" t="n">
        <v>5.6</v>
      </c>
    </row>
    <row r="47">
      <c r="A47" t="inlineStr">
        <is>
          <t>2025-10</t>
        </is>
      </c>
      <c r="B47" t="inlineStr">
        <is>
          <t>New York</t>
        </is>
      </c>
      <c r="C47" t="inlineStr">
        <is>
          <t>North America</t>
        </is>
      </c>
      <c r="D47" t="n">
        <v>385</v>
      </c>
      <c r="E47" t="n">
        <v>614252.79</v>
      </c>
      <c r="F47" t="n">
        <v>23719.98</v>
      </c>
      <c r="G47" t="n">
        <v>146497.59</v>
      </c>
      <c r="H47" t="n">
        <v>4.28</v>
      </c>
      <c r="I47" t="n">
        <v>32</v>
      </c>
      <c r="J47" t="n">
        <v>5.6</v>
      </c>
    </row>
    <row r="48">
      <c r="A48" t="inlineStr">
        <is>
          <t>2025-11</t>
        </is>
      </c>
      <c r="B48" t="inlineStr">
        <is>
          <t>New York</t>
        </is>
      </c>
      <c r="C48" t="inlineStr">
        <is>
          <t>North America</t>
        </is>
      </c>
      <c r="D48" t="n">
        <v>399</v>
      </c>
      <c r="E48" t="n">
        <v>643680.84</v>
      </c>
      <c r="F48" t="n">
        <v>24329.36</v>
      </c>
      <c r="G48" t="n">
        <v>155868.16</v>
      </c>
      <c r="H48" t="n">
        <v>4.3</v>
      </c>
      <c r="I48" t="n">
        <v>35</v>
      </c>
      <c r="J48" t="n">
        <v>5.7</v>
      </c>
    </row>
    <row r="49">
      <c r="A49" t="inlineStr">
        <is>
          <t>2025-12</t>
        </is>
      </c>
      <c r="B49" t="inlineStr">
        <is>
          <t>New York</t>
        </is>
      </c>
      <c r="C49" t="inlineStr">
        <is>
          <t>North America</t>
        </is>
      </c>
      <c r="D49" t="n">
        <v>453</v>
      </c>
      <c r="E49" t="n">
        <v>722546.4300000001</v>
      </c>
      <c r="F49" t="n">
        <v>25420.81</v>
      </c>
      <c r="G49" t="n">
        <v>154728.71</v>
      </c>
      <c r="H49" t="n">
        <v>4.46</v>
      </c>
      <c r="I49" t="n">
        <v>37</v>
      </c>
      <c r="J49" t="n">
        <v>5.6</v>
      </c>
    </row>
    <row r="50">
      <c r="A50" t="inlineStr">
        <is>
          <t>2025-01</t>
        </is>
      </c>
      <c r="B50" t="inlineStr">
        <is>
          <t>Cape Town</t>
        </is>
      </c>
      <c r="C50" t="inlineStr">
        <is>
          <t>Africa</t>
        </is>
      </c>
      <c r="D50" t="n">
        <v>733</v>
      </c>
      <c r="E50" t="n">
        <v>1325782.11</v>
      </c>
      <c r="F50" t="n">
        <v>18611.21</v>
      </c>
      <c r="G50" t="n">
        <v>131712.03</v>
      </c>
      <c r="H50" t="n">
        <v>4.3</v>
      </c>
      <c r="I50" t="n">
        <v>32</v>
      </c>
      <c r="J50" t="n">
        <v>4.5</v>
      </c>
    </row>
    <row r="51">
      <c r="A51" t="inlineStr">
        <is>
          <t>2025-02</t>
        </is>
      </c>
      <c r="B51" t="inlineStr">
        <is>
          <t>Cape Town</t>
        </is>
      </c>
      <c r="C51" t="inlineStr">
        <is>
          <t>Africa</t>
        </is>
      </c>
      <c r="D51" t="n">
        <v>867</v>
      </c>
      <c r="E51" t="n">
        <v>1605080.32</v>
      </c>
      <c r="F51" t="n">
        <v>22884.23</v>
      </c>
      <c r="G51" t="n">
        <v>137470.6</v>
      </c>
      <c r="H51" t="n">
        <v>4.24</v>
      </c>
      <c r="I51" t="n">
        <v>33</v>
      </c>
      <c r="J51" t="n">
        <v>4.5</v>
      </c>
    </row>
    <row r="52">
      <c r="A52" t="inlineStr">
        <is>
          <t>2025-03</t>
        </is>
      </c>
      <c r="B52" t="inlineStr">
        <is>
          <t>Cape Town</t>
        </is>
      </c>
      <c r="C52" t="inlineStr">
        <is>
          <t>Africa</t>
        </is>
      </c>
      <c r="D52" t="n">
        <v>919</v>
      </c>
      <c r="E52" t="n">
        <v>1623424.14</v>
      </c>
      <c r="F52" t="n">
        <v>28864.99</v>
      </c>
      <c r="G52" t="n">
        <v>139985.46</v>
      </c>
      <c r="H52" t="n">
        <v>4.22</v>
      </c>
      <c r="I52" t="n">
        <v>36</v>
      </c>
      <c r="J52" t="n">
        <v>4.3</v>
      </c>
    </row>
    <row r="53">
      <c r="A53" t="inlineStr">
        <is>
          <t>2025-04</t>
        </is>
      </c>
      <c r="B53" t="inlineStr">
        <is>
          <t>Cape Town</t>
        </is>
      </c>
      <c r="C53" t="inlineStr">
        <is>
          <t>Africa</t>
        </is>
      </c>
      <c r="D53" t="n">
        <v>952</v>
      </c>
      <c r="E53" t="n">
        <v>1750811.69</v>
      </c>
      <c r="F53" t="n">
        <v>29315.08</v>
      </c>
      <c r="G53" t="n">
        <v>142112.17</v>
      </c>
      <c r="H53" t="n">
        <v>4.27</v>
      </c>
      <c r="I53" t="n">
        <v>41</v>
      </c>
      <c r="J53" t="n">
        <v>4.2</v>
      </c>
    </row>
    <row r="54">
      <c r="A54" t="inlineStr">
        <is>
          <t>2025-05</t>
        </is>
      </c>
      <c r="B54" t="inlineStr">
        <is>
          <t>Cape Town</t>
        </is>
      </c>
      <c r="C54" t="inlineStr">
        <is>
          <t>Africa</t>
        </is>
      </c>
      <c r="D54" t="n">
        <v>935</v>
      </c>
      <c r="E54" t="n">
        <v>1626453.24</v>
      </c>
      <c r="F54" t="n">
        <v>29049.78</v>
      </c>
      <c r="G54" t="n">
        <v>142469.2</v>
      </c>
      <c r="H54" t="n">
        <v>4.3</v>
      </c>
      <c r="I54" t="n">
        <v>36</v>
      </c>
      <c r="J54" t="n">
        <v>4.3</v>
      </c>
    </row>
    <row r="55">
      <c r="A55" t="inlineStr">
        <is>
          <t>2025-06</t>
        </is>
      </c>
      <c r="B55" t="inlineStr">
        <is>
          <t>Cape Town</t>
        </is>
      </c>
      <c r="C55" t="inlineStr">
        <is>
          <t>Africa</t>
        </is>
      </c>
      <c r="D55" t="n">
        <v>770</v>
      </c>
      <c r="E55" t="n">
        <v>1354165.44</v>
      </c>
      <c r="F55" t="n">
        <v>21570.53</v>
      </c>
      <c r="G55" t="n">
        <v>152006.49</v>
      </c>
      <c r="H55" t="n">
        <v>4.4</v>
      </c>
      <c r="I55" t="n">
        <v>32</v>
      </c>
      <c r="J55" t="n">
        <v>4.4</v>
      </c>
    </row>
    <row r="56">
      <c r="A56" t="inlineStr">
        <is>
          <t>2025-07</t>
        </is>
      </c>
      <c r="B56" t="inlineStr">
        <is>
          <t>Cape Town</t>
        </is>
      </c>
      <c r="C56" t="inlineStr">
        <is>
          <t>Africa</t>
        </is>
      </c>
      <c r="D56" t="n">
        <v>705</v>
      </c>
      <c r="E56" t="n">
        <v>1253635.57</v>
      </c>
      <c r="F56" t="n">
        <v>18059.94</v>
      </c>
      <c r="G56" t="n">
        <v>146600.08</v>
      </c>
      <c r="H56" t="n">
        <v>4.22</v>
      </c>
      <c r="I56" t="n">
        <v>28</v>
      </c>
      <c r="J56" t="n">
        <v>4.1</v>
      </c>
    </row>
    <row r="57">
      <c r="A57" t="inlineStr">
        <is>
          <t>2025-08</t>
        </is>
      </c>
      <c r="B57" t="inlineStr">
        <is>
          <t>Cape Town</t>
        </is>
      </c>
      <c r="C57" t="inlineStr">
        <is>
          <t>Africa</t>
        </is>
      </c>
      <c r="D57" t="n">
        <v>549</v>
      </c>
      <c r="E57" t="n">
        <v>980962.6800000001</v>
      </c>
      <c r="F57" t="n">
        <v>15954.36</v>
      </c>
      <c r="G57" t="n">
        <v>151486</v>
      </c>
      <c r="H57" t="n">
        <v>4.34</v>
      </c>
      <c r="I57" t="n">
        <v>22</v>
      </c>
      <c r="J57" t="n">
        <v>4.2</v>
      </c>
    </row>
    <row r="58">
      <c r="A58" t="inlineStr">
        <is>
          <t>2025-09</t>
        </is>
      </c>
      <c r="B58" t="inlineStr">
        <is>
          <t>Cape Town</t>
        </is>
      </c>
      <c r="C58" t="inlineStr">
        <is>
          <t>Africa</t>
        </is>
      </c>
      <c r="D58" t="n">
        <v>435</v>
      </c>
      <c r="E58" t="n">
        <v>792506.67</v>
      </c>
      <c r="F58" t="n">
        <v>14147.07</v>
      </c>
      <c r="G58" t="n">
        <v>163666.91</v>
      </c>
      <c r="H58" t="n">
        <v>4.2</v>
      </c>
      <c r="I58" t="n">
        <v>19</v>
      </c>
      <c r="J58" t="n">
        <v>4</v>
      </c>
    </row>
    <row r="59">
      <c r="A59" t="inlineStr">
        <is>
          <t>2025-10</t>
        </is>
      </c>
      <c r="B59" t="inlineStr">
        <is>
          <t>Cape Town</t>
        </is>
      </c>
      <c r="C59" t="inlineStr">
        <is>
          <t>Africa</t>
        </is>
      </c>
      <c r="D59" t="n">
        <v>483</v>
      </c>
      <c r="E59" t="n">
        <v>841144.85</v>
      </c>
      <c r="F59" t="n">
        <v>12461.33</v>
      </c>
      <c r="G59" t="n">
        <v>159793.6</v>
      </c>
      <c r="H59" t="n">
        <v>4.36</v>
      </c>
      <c r="I59" t="n">
        <v>21</v>
      </c>
      <c r="J59" t="n">
        <v>4.2</v>
      </c>
    </row>
    <row r="60">
      <c r="A60" t="inlineStr">
        <is>
          <t>2025-11</t>
        </is>
      </c>
      <c r="B60" t="inlineStr">
        <is>
          <t>Cape Town</t>
        </is>
      </c>
      <c r="C60" t="inlineStr">
        <is>
          <t>Africa</t>
        </is>
      </c>
      <c r="D60" t="n">
        <v>509</v>
      </c>
      <c r="E60" t="n">
        <v>902441.23</v>
      </c>
      <c r="F60" t="n">
        <v>12731.95</v>
      </c>
      <c r="G60" t="n">
        <v>161688.63</v>
      </c>
      <c r="H60" t="n">
        <v>4.24</v>
      </c>
      <c r="I60" t="n">
        <v>19</v>
      </c>
      <c r="J60" t="n">
        <v>4.1</v>
      </c>
    </row>
    <row r="61">
      <c r="A61" t="inlineStr">
        <is>
          <t>2025-12</t>
        </is>
      </c>
      <c r="B61" t="inlineStr">
        <is>
          <t>Cape Town</t>
        </is>
      </c>
      <c r="C61" t="inlineStr">
        <is>
          <t>Africa</t>
        </is>
      </c>
      <c r="D61" t="n">
        <v>517</v>
      </c>
      <c r="E61" t="n">
        <v>898320.97</v>
      </c>
      <c r="F61" t="n">
        <v>14121.88</v>
      </c>
      <c r="G61" t="n">
        <v>169483.11</v>
      </c>
      <c r="H61" t="n">
        <v>4.2</v>
      </c>
      <c r="I61" t="n">
        <v>22</v>
      </c>
      <c r="J61" t="n">
        <v>4.2</v>
      </c>
    </row>
    <row r="62">
      <c r="A62" t="inlineStr">
        <is>
          <t>2025-01</t>
        </is>
      </c>
      <c r="B62" t="inlineStr">
        <is>
          <t>Rio de Janeiro</t>
        </is>
      </c>
      <c r="C62" t="inlineStr">
        <is>
          <t>South America</t>
        </is>
      </c>
      <c r="D62" t="n">
        <v>895</v>
      </c>
      <c r="E62" t="n">
        <v>904717.0600000001</v>
      </c>
      <c r="F62" t="n">
        <v>22406.83</v>
      </c>
      <c r="G62" t="n">
        <v>141455.75</v>
      </c>
      <c r="H62" t="n">
        <v>4.54</v>
      </c>
      <c r="I62" t="n">
        <v>50</v>
      </c>
      <c r="J62" t="n">
        <v>3.8</v>
      </c>
    </row>
    <row r="63">
      <c r="A63" t="inlineStr">
        <is>
          <t>2025-02</t>
        </is>
      </c>
      <c r="B63" t="inlineStr">
        <is>
          <t>Rio de Janeiro</t>
        </is>
      </c>
      <c r="C63" t="inlineStr">
        <is>
          <t>South America</t>
        </is>
      </c>
      <c r="D63" t="n">
        <v>951</v>
      </c>
      <c r="E63" t="n">
        <v>959150.05</v>
      </c>
      <c r="F63" t="n">
        <v>23712.76</v>
      </c>
      <c r="G63" t="n">
        <v>145133.07</v>
      </c>
      <c r="H63" t="n">
        <v>4.6</v>
      </c>
      <c r="I63" t="n">
        <v>55</v>
      </c>
      <c r="J63" t="n">
        <v>3.7</v>
      </c>
    </row>
    <row r="64">
      <c r="A64" t="inlineStr">
        <is>
          <t>2025-03</t>
        </is>
      </c>
      <c r="B64" t="inlineStr">
        <is>
          <t>Rio de Janeiro</t>
        </is>
      </c>
      <c r="C64" t="inlineStr">
        <is>
          <t>South America</t>
        </is>
      </c>
      <c r="D64" t="n">
        <v>1052</v>
      </c>
      <c r="E64" t="n">
        <v>1022474.25</v>
      </c>
      <c r="F64" t="n">
        <v>24870.93</v>
      </c>
      <c r="G64" t="n">
        <v>154779.92</v>
      </c>
      <c r="H64" t="n">
        <v>4.67</v>
      </c>
      <c r="I64" t="n">
        <v>57</v>
      </c>
      <c r="J64" t="n">
        <v>3.4</v>
      </c>
    </row>
    <row r="65">
      <c r="A65" t="inlineStr">
        <is>
          <t>2025-04</t>
        </is>
      </c>
      <c r="B65" t="inlineStr">
        <is>
          <t>Rio de Janeiro</t>
        </is>
      </c>
      <c r="C65" t="inlineStr">
        <is>
          <t>South America</t>
        </is>
      </c>
      <c r="D65" t="n">
        <v>1009</v>
      </c>
      <c r="E65" t="n">
        <v>1061175.81</v>
      </c>
      <c r="F65" t="n">
        <v>23747.11</v>
      </c>
      <c r="G65" t="n">
        <v>166833.43</v>
      </c>
      <c r="H65" t="n">
        <v>4.68</v>
      </c>
      <c r="I65" t="n">
        <v>56</v>
      </c>
      <c r="J65" t="n">
        <v>3.5</v>
      </c>
    </row>
    <row r="66">
      <c r="A66" t="inlineStr">
        <is>
          <t>2025-05</t>
        </is>
      </c>
      <c r="B66" t="inlineStr">
        <is>
          <t>Rio de Janeiro</t>
        </is>
      </c>
      <c r="C66" t="inlineStr">
        <is>
          <t>South America</t>
        </is>
      </c>
      <c r="D66" t="n">
        <v>885</v>
      </c>
      <c r="E66" t="n">
        <v>826674.25</v>
      </c>
      <c r="F66" t="n">
        <v>17740.19</v>
      </c>
      <c r="G66" t="n">
        <v>157129.64</v>
      </c>
      <c r="H66" t="n">
        <v>4.52</v>
      </c>
      <c r="I66" t="n">
        <v>48</v>
      </c>
      <c r="J66" t="n">
        <v>3.5</v>
      </c>
    </row>
    <row r="67">
      <c r="A67" t="inlineStr">
        <is>
          <t>2025-06</t>
        </is>
      </c>
      <c r="B67" t="inlineStr">
        <is>
          <t>Rio de Janeiro</t>
        </is>
      </c>
      <c r="C67" t="inlineStr">
        <is>
          <t>South America</t>
        </is>
      </c>
      <c r="D67" t="n">
        <v>798</v>
      </c>
      <c r="E67" t="n">
        <v>825945.96</v>
      </c>
      <c r="F67" t="n">
        <v>19776.98</v>
      </c>
      <c r="G67" t="n">
        <v>161203.18</v>
      </c>
      <c r="H67" t="n">
        <v>4.67</v>
      </c>
      <c r="I67" t="n">
        <v>46</v>
      </c>
      <c r="J67" t="n">
        <v>3.5</v>
      </c>
    </row>
    <row r="68">
      <c r="A68" t="inlineStr">
        <is>
          <t>2025-07</t>
        </is>
      </c>
      <c r="B68" t="inlineStr">
        <is>
          <t>Rio de Janeiro</t>
        </is>
      </c>
      <c r="C68" t="inlineStr">
        <is>
          <t>South America</t>
        </is>
      </c>
      <c r="D68" t="n">
        <v>651</v>
      </c>
      <c r="E68" t="n">
        <v>711330.91</v>
      </c>
      <c r="F68" t="n">
        <v>15674.65</v>
      </c>
      <c r="G68" t="n">
        <v>160926.55</v>
      </c>
      <c r="H68" t="n">
        <v>4.51</v>
      </c>
      <c r="I68" t="n">
        <v>35</v>
      </c>
      <c r="J68" t="n">
        <v>3.7</v>
      </c>
    </row>
    <row r="69">
      <c r="A69" t="inlineStr">
        <is>
          <t>2025-08</t>
        </is>
      </c>
      <c r="B69" t="inlineStr">
        <is>
          <t>Rio de Janeiro</t>
        </is>
      </c>
      <c r="C69" t="inlineStr">
        <is>
          <t>South America</t>
        </is>
      </c>
      <c r="D69" t="n">
        <v>545</v>
      </c>
      <c r="E69" t="n">
        <v>533729.35</v>
      </c>
      <c r="F69" t="n">
        <v>11474.05</v>
      </c>
      <c r="G69" t="n">
        <v>164479.09</v>
      </c>
      <c r="H69" t="n">
        <v>4.62</v>
      </c>
      <c r="I69" t="n">
        <v>30</v>
      </c>
      <c r="J69" t="n">
        <v>3.8</v>
      </c>
    </row>
    <row r="70">
      <c r="A70" t="inlineStr">
        <is>
          <t>2025-09</t>
        </is>
      </c>
      <c r="B70" t="inlineStr">
        <is>
          <t>Rio de Janeiro</t>
        </is>
      </c>
      <c r="C70" t="inlineStr">
        <is>
          <t>South America</t>
        </is>
      </c>
      <c r="D70" t="n">
        <v>540</v>
      </c>
      <c r="E70" t="n">
        <v>568014.71</v>
      </c>
      <c r="F70" t="n">
        <v>12285.56</v>
      </c>
      <c r="G70" t="n">
        <v>175367.17</v>
      </c>
      <c r="H70" t="n">
        <v>4.49</v>
      </c>
      <c r="I70" t="n">
        <v>28</v>
      </c>
      <c r="J70" t="n">
        <v>3.9</v>
      </c>
    </row>
    <row r="71">
      <c r="A71" t="inlineStr">
        <is>
          <t>2025-10</t>
        </is>
      </c>
      <c r="B71" t="inlineStr">
        <is>
          <t>Rio de Janeiro</t>
        </is>
      </c>
      <c r="C71" t="inlineStr">
        <is>
          <t>South America</t>
        </is>
      </c>
      <c r="D71" t="n">
        <v>481</v>
      </c>
      <c r="E71" t="n">
        <v>502329.99</v>
      </c>
      <c r="F71" t="n">
        <v>12361.4</v>
      </c>
      <c r="G71" t="n">
        <v>176627.26</v>
      </c>
      <c r="H71" t="n">
        <v>4.54</v>
      </c>
      <c r="I71" t="n">
        <v>27</v>
      </c>
      <c r="J71" t="n">
        <v>3.4</v>
      </c>
    </row>
    <row r="72">
      <c r="A72" t="inlineStr">
        <is>
          <t>2025-11</t>
        </is>
      </c>
      <c r="B72" t="inlineStr">
        <is>
          <t>Rio de Janeiro</t>
        </is>
      </c>
      <c r="C72" t="inlineStr">
        <is>
          <t>South America</t>
        </is>
      </c>
      <c r="D72" t="n">
        <v>576</v>
      </c>
      <c r="E72" t="n">
        <v>565744.76</v>
      </c>
      <c r="F72" t="n">
        <v>12328.99</v>
      </c>
      <c r="G72" t="n">
        <v>182119.88</v>
      </c>
      <c r="H72" t="n">
        <v>4.57</v>
      </c>
      <c r="I72" t="n">
        <v>34</v>
      </c>
      <c r="J72" t="n">
        <v>3.9</v>
      </c>
    </row>
    <row r="73">
      <c r="A73" t="inlineStr">
        <is>
          <t>2025-12</t>
        </is>
      </c>
      <c r="B73" t="inlineStr">
        <is>
          <t>Rio de Janeiro</t>
        </is>
      </c>
      <c r="C73" t="inlineStr">
        <is>
          <t>South America</t>
        </is>
      </c>
      <c r="D73" t="n">
        <v>747</v>
      </c>
      <c r="E73" t="n">
        <v>769626.09</v>
      </c>
      <c r="F73" t="n">
        <v>16224.65</v>
      </c>
      <c r="G73" t="n">
        <v>195838.06</v>
      </c>
      <c r="H73" t="n">
        <v>4.48</v>
      </c>
      <c r="I73" t="n">
        <v>40</v>
      </c>
      <c r="J73" t="n">
        <v>3.6</v>
      </c>
    </row>
    <row r="74">
      <c r="A74" t="inlineStr">
        <is>
          <t>2025-01</t>
        </is>
      </c>
      <c r="B74" t="inlineStr">
        <is>
          <t>Dubai</t>
        </is>
      </c>
      <c r="C74" t="inlineStr">
        <is>
          <t>Middle East</t>
        </is>
      </c>
      <c r="D74" t="n">
        <v>740</v>
      </c>
      <c r="E74" t="n">
        <v>910269.63</v>
      </c>
      <c r="F74" t="n">
        <v>26187.22</v>
      </c>
      <c r="G74" t="n">
        <v>161019.13</v>
      </c>
      <c r="H74" t="n">
        <v>4.43</v>
      </c>
      <c r="I74" t="n">
        <v>52</v>
      </c>
      <c r="J74" t="n">
        <v>5.2</v>
      </c>
    </row>
    <row r="75">
      <c r="A75" t="inlineStr">
        <is>
          <t>2025-02</t>
        </is>
      </c>
      <c r="B75" t="inlineStr">
        <is>
          <t>Dubai</t>
        </is>
      </c>
      <c r="C75" t="inlineStr">
        <is>
          <t>Middle East</t>
        </is>
      </c>
      <c r="D75" t="n">
        <v>866</v>
      </c>
      <c r="E75" t="n">
        <v>1086909.93</v>
      </c>
      <c r="F75" t="n">
        <v>30488.57</v>
      </c>
      <c r="G75" t="n">
        <v>163507.19</v>
      </c>
      <c r="H75" t="n">
        <v>4.55</v>
      </c>
      <c r="I75" t="n">
        <v>61</v>
      </c>
      <c r="J75" t="n">
        <v>5.5</v>
      </c>
    </row>
    <row r="76">
      <c r="A76" t="inlineStr">
        <is>
          <t>2025-03</t>
        </is>
      </c>
      <c r="B76" t="inlineStr">
        <is>
          <t>Dubai</t>
        </is>
      </c>
      <c r="C76" t="inlineStr">
        <is>
          <t>Middle East</t>
        </is>
      </c>
      <c r="D76" t="n">
        <v>936</v>
      </c>
      <c r="E76" t="n">
        <v>1176593.05</v>
      </c>
      <c r="F76" t="n">
        <v>36054.38</v>
      </c>
      <c r="G76" t="n">
        <v>166378.67</v>
      </c>
      <c r="H76" t="n">
        <v>4.51</v>
      </c>
      <c r="I76" t="n">
        <v>68</v>
      </c>
      <c r="J76" t="n">
        <v>5.4</v>
      </c>
    </row>
    <row r="77">
      <c r="A77" t="inlineStr">
        <is>
          <t>2025-04</t>
        </is>
      </c>
      <c r="B77" t="inlineStr">
        <is>
          <t>Dubai</t>
        </is>
      </c>
      <c r="C77" t="inlineStr">
        <is>
          <t>Middle East</t>
        </is>
      </c>
      <c r="D77" t="n">
        <v>1063</v>
      </c>
      <c r="E77" t="n">
        <v>1347580.45</v>
      </c>
      <c r="F77" t="n">
        <v>41563.81</v>
      </c>
      <c r="G77" t="n">
        <v>164268.05</v>
      </c>
      <c r="H77" t="n">
        <v>4.48</v>
      </c>
      <c r="I77" t="n">
        <v>76</v>
      </c>
      <c r="J77" t="n">
        <v>5.5</v>
      </c>
    </row>
    <row r="78">
      <c r="A78" t="inlineStr">
        <is>
          <t>2025-05</t>
        </is>
      </c>
      <c r="B78" t="inlineStr">
        <is>
          <t>Dubai</t>
        </is>
      </c>
      <c r="C78" t="inlineStr">
        <is>
          <t>Middle East</t>
        </is>
      </c>
      <c r="D78" t="n">
        <v>1069</v>
      </c>
      <c r="E78" t="n">
        <v>1322505.88</v>
      </c>
      <c r="F78" t="n">
        <v>37962.54</v>
      </c>
      <c r="G78" t="n">
        <v>171643.9</v>
      </c>
      <c r="H78" t="n">
        <v>4.48</v>
      </c>
      <c r="I78" t="n">
        <v>78</v>
      </c>
      <c r="J78" t="n">
        <v>5.4</v>
      </c>
    </row>
    <row r="79">
      <c r="A79" t="inlineStr">
        <is>
          <t>2025-06</t>
        </is>
      </c>
      <c r="B79" t="inlineStr">
        <is>
          <t>Dubai</t>
        </is>
      </c>
      <c r="C79" t="inlineStr">
        <is>
          <t>Middle East</t>
        </is>
      </c>
      <c r="D79" t="n">
        <v>1124</v>
      </c>
      <c r="E79" t="n">
        <v>1362689.18</v>
      </c>
      <c r="F79" t="n">
        <v>42880.19</v>
      </c>
      <c r="G79" t="n">
        <v>164749.03</v>
      </c>
      <c r="H79" t="n">
        <v>4.48</v>
      </c>
      <c r="I79" t="n">
        <v>77</v>
      </c>
      <c r="J79" t="n">
        <v>5.4</v>
      </c>
    </row>
    <row r="80">
      <c r="A80" t="inlineStr">
        <is>
          <t>2025-07</t>
        </is>
      </c>
      <c r="B80" t="inlineStr">
        <is>
          <t>Dubai</t>
        </is>
      </c>
      <c r="C80" t="inlineStr">
        <is>
          <t>Middle East</t>
        </is>
      </c>
      <c r="D80" t="n">
        <v>998</v>
      </c>
      <c r="E80" t="n">
        <v>1199088.27</v>
      </c>
      <c r="F80" t="n">
        <v>36692.05</v>
      </c>
      <c r="G80" t="n">
        <v>176602.75</v>
      </c>
      <c r="H80" t="n">
        <v>4.55</v>
      </c>
      <c r="I80" t="n">
        <v>67</v>
      </c>
      <c r="J80" t="n">
        <v>5.1</v>
      </c>
    </row>
    <row r="81">
      <c r="A81" t="inlineStr">
        <is>
          <t>2025-08</t>
        </is>
      </c>
      <c r="B81" t="inlineStr">
        <is>
          <t>Dubai</t>
        </is>
      </c>
      <c r="C81" t="inlineStr">
        <is>
          <t>Middle East</t>
        </is>
      </c>
      <c r="D81" t="n">
        <v>864</v>
      </c>
      <c r="E81" t="n">
        <v>1053055.34</v>
      </c>
      <c r="F81" t="n">
        <v>31437.65</v>
      </c>
      <c r="G81" t="n">
        <v>185908.71</v>
      </c>
      <c r="H81" t="n">
        <v>4.42</v>
      </c>
      <c r="I81" t="n">
        <v>57</v>
      </c>
      <c r="J81" t="n">
        <v>5.4</v>
      </c>
    </row>
    <row r="82">
      <c r="A82" t="inlineStr">
        <is>
          <t>2025-09</t>
        </is>
      </c>
      <c r="B82" t="inlineStr">
        <is>
          <t>Dubai</t>
        </is>
      </c>
      <c r="C82" t="inlineStr">
        <is>
          <t>Middle East</t>
        </is>
      </c>
      <c r="D82" t="n">
        <v>717</v>
      </c>
      <c r="E82" t="n">
        <v>895872.59</v>
      </c>
      <c r="F82" t="n">
        <v>26694.61</v>
      </c>
      <c r="G82" t="n">
        <v>181567.27</v>
      </c>
      <c r="H82" t="n">
        <v>4.47</v>
      </c>
      <c r="I82" t="n">
        <v>48</v>
      </c>
      <c r="J82" t="n">
        <v>5.2</v>
      </c>
    </row>
    <row r="83">
      <c r="A83" t="inlineStr">
        <is>
          <t>2025-10</t>
        </is>
      </c>
      <c r="B83" t="inlineStr">
        <is>
          <t>Dubai</t>
        </is>
      </c>
      <c r="C83" t="inlineStr">
        <is>
          <t>Middle East</t>
        </is>
      </c>
      <c r="D83" t="n">
        <v>664</v>
      </c>
      <c r="E83" t="n">
        <v>809344.63</v>
      </c>
      <c r="F83" t="n">
        <v>25174.16</v>
      </c>
      <c r="G83" t="n">
        <v>195176.88</v>
      </c>
      <c r="H83" t="n">
        <v>4.49</v>
      </c>
      <c r="I83" t="n">
        <v>47</v>
      </c>
      <c r="J83" t="n">
        <v>5.5</v>
      </c>
    </row>
    <row r="84">
      <c r="A84" t="inlineStr">
        <is>
          <t>2025-11</t>
        </is>
      </c>
      <c r="B84" t="inlineStr">
        <is>
          <t>Dubai</t>
        </is>
      </c>
      <c r="C84" t="inlineStr">
        <is>
          <t>Middle East</t>
        </is>
      </c>
      <c r="D84" t="n">
        <v>605</v>
      </c>
      <c r="E84" t="n">
        <v>754829.71</v>
      </c>
      <c r="F84" t="n">
        <v>23763.63</v>
      </c>
      <c r="G84" t="n">
        <v>185520.08</v>
      </c>
      <c r="H84" t="n">
        <v>4.45</v>
      </c>
      <c r="I84" t="n">
        <v>42</v>
      </c>
      <c r="J84" t="n">
        <v>5.6</v>
      </c>
    </row>
    <row r="85">
      <c r="A85" t="inlineStr">
        <is>
          <t>2025-12</t>
        </is>
      </c>
      <c r="B85" t="inlineStr">
        <is>
          <t>Dubai</t>
        </is>
      </c>
      <c r="C85" t="inlineStr">
        <is>
          <t>Middle East</t>
        </is>
      </c>
      <c r="D85" t="n">
        <v>537</v>
      </c>
      <c r="E85" t="n">
        <v>664818.61</v>
      </c>
      <c r="F85" t="n">
        <v>19868.84</v>
      </c>
      <c r="G85" t="n">
        <v>197108.37</v>
      </c>
      <c r="H85" t="n">
        <v>4.48</v>
      </c>
      <c r="I85" t="n">
        <v>39</v>
      </c>
      <c r="J85" t="n">
        <v>5</v>
      </c>
    </row>
    <row r="86">
      <c r="A86" t="inlineStr">
        <is>
          <t>2025-01</t>
        </is>
      </c>
      <c r="B86" t="inlineStr">
        <is>
          <t>Barcelona</t>
        </is>
      </c>
      <c r="C86" t="inlineStr">
        <is>
          <t>Europe</t>
        </is>
      </c>
      <c r="D86" t="n">
        <v>958</v>
      </c>
      <c r="E86" t="n">
        <v>1404775.33</v>
      </c>
      <c r="F86" t="n">
        <v>49944.52</v>
      </c>
      <c r="G86" t="n">
        <v>169671.36</v>
      </c>
      <c r="H86" t="n">
        <v>4.43</v>
      </c>
      <c r="I86" t="n">
        <v>79</v>
      </c>
      <c r="J86" t="n">
        <v>4.9</v>
      </c>
    </row>
    <row r="87">
      <c r="A87" t="inlineStr">
        <is>
          <t>2025-02</t>
        </is>
      </c>
      <c r="B87" t="inlineStr">
        <is>
          <t>Barcelona</t>
        </is>
      </c>
      <c r="C87" t="inlineStr">
        <is>
          <t>Europe</t>
        </is>
      </c>
      <c r="D87" t="n">
        <v>1045</v>
      </c>
      <c r="E87" t="n">
        <v>1577135.32</v>
      </c>
      <c r="F87" t="n">
        <v>58983.85</v>
      </c>
      <c r="G87" t="n">
        <v>167512.94</v>
      </c>
      <c r="H87" t="n">
        <v>4.4</v>
      </c>
      <c r="I87" t="n">
        <v>90</v>
      </c>
      <c r="J87" t="n">
        <v>4.9</v>
      </c>
    </row>
    <row r="88">
      <c r="A88" t="inlineStr">
        <is>
          <t>2025-03</t>
        </is>
      </c>
      <c r="B88" t="inlineStr">
        <is>
          <t>Barcelona</t>
        </is>
      </c>
      <c r="C88" t="inlineStr">
        <is>
          <t>Europe</t>
        </is>
      </c>
      <c r="D88" t="n">
        <v>1255</v>
      </c>
      <c r="E88" t="n">
        <v>1788424.06</v>
      </c>
      <c r="F88" t="n">
        <v>67764.10000000001</v>
      </c>
      <c r="G88" t="n">
        <v>168372.94</v>
      </c>
      <c r="H88" t="n">
        <v>4.55</v>
      </c>
      <c r="I88" t="n">
        <v>110</v>
      </c>
      <c r="J88" t="n">
        <v>5.1</v>
      </c>
    </row>
    <row r="89">
      <c r="A89" t="inlineStr">
        <is>
          <t>2025-04</t>
        </is>
      </c>
      <c r="B89" t="inlineStr">
        <is>
          <t>Barcelona</t>
        </is>
      </c>
      <c r="C89" t="inlineStr">
        <is>
          <t>Europe</t>
        </is>
      </c>
      <c r="D89" t="n">
        <v>1258</v>
      </c>
      <c r="E89" t="n">
        <v>1884454.07</v>
      </c>
      <c r="F89" t="n">
        <v>69010.64</v>
      </c>
      <c r="G89" t="n">
        <v>174734.7</v>
      </c>
      <c r="H89" t="n">
        <v>4.46</v>
      </c>
      <c r="I89" t="n">
        <v>103</v>
      </c>
      <c r="J89" t="n">
        <v>4.8</v>
      </c>
    </row>
    <row r="90">
      <c r="A90" t="inlineStr">
        <is>
          <t>2025-05</t>
        </is>
      </c>
      <c r="B90" t="inlineStr">
        <is>
          <t>Barcelona</t>
        </is>
      </c>
      <c r="C90" t="inlineStr">
        <is>
          <t>Europe</t>
        </is>
      </c>
      <c r="D90" t="n">
        <v>1155</v>
      </c>
      <c r="E90" t="n">
        <v>1672619.63</v>
      </c>
      <c r="F90" t="n">
        <v>60158.19</v>
      </c>
      <c r="G90" t="n">
        <v>185012.01</v>
      </c>
      <c r="H90" t="n">
        <v>4.37</v>
      </c>
      <c r="I90" t="n">
        <v>102</v>
      </c>
      <c r="J90" t="n">
        <v>5.3</v>
      </c>
    </row>
    <row r="91">
      <c r="A91" t="inlineStr">
        <is>
          <t>2025-06</t>
        </is>
      </c>
      <c r="B91" t="inlineStr">
        <is>
          <t>Barcelona</t>
        </is>
      </c>
      <c r="C91" t="inlineStr">
        <is>
          <t>Europe</t>
        </is>
      </c>
      <c r="D91" t="n">
        <v>1037</v>
      </c>
      <c r="E91" t="n">
        <v>1334471.02</v>
      </c>
      <c r="F91" t="n">
        <v>50629.23</v>
      </c>
      <c r="G91" t="n">
        <v>182325.88</v>
      </c>
      <c r="H91" t="n">
        <v>4.34</v>
      </c>
      <c r="I91" t="n">
        <v>84</v>
      </c>
      <c r="J91" t="n">
        <v>5</v>
      </c>
    </row>
    <row r="92">
      <c r="A92" t="inlineStr">
        <is>
          <t>2025-07</t>
        </is>
      </c>
      <c r="B92" t="inlineStr">
        <is>
          <t>Barcelona</t>
        </is>
      </c>
      <c r="C92" t="inlineStr">
        <is>
          <t>Europe</t>
        </is>
      </c>
      <c r="D92" t="n">
        <v>949</v>
      </c>
      <c r="E92" t="n">
        <v>1235377.69</v>
      </c>
      <c r="F92" t="n">
        <v>44278.66</v>
      </c>
      <c r="G92" t="n">
        <v>192174.49</v>
      </c>
      <c r="H92" t="n">
        <v>4.42</v>
      </c>
      <c r="I92" t="n">
        <v>83</v>
      </c>
      <c r="J92" t="n">
        <v>5.2</v>
      </c>
    </row>
    <row r="93">
      <c r="A93" t="inlineStr">
        <is>
          <t>2025-08</t>
        </is>
      </c>
      <c r="B93" t="inlineStr">
        <is>
          <t>Barcelona</t>
        </is>
      </c>
      <c r="C93" t="inlineStr">
        <is>
          <t>Europe</t>
        </is>
      </c>
      <c r="D93" t="n">
        <v>733</v>
      </c>
      <c r="E93" t="n">
        <v>1049750.92</v>
      </c>
      <c r="F93" t="n">
        <v>37981.62</v>
      </c>
      <c r="G93" t="n">
        <v>192074.15</v>
      </c>
      <c r="H93" t="n">
        <v>4.45</v>
      </c>
      <c r="I93" t="n">
        <v>63</v>
      </c>
      <c r="J93" t="n">
        <v>5.2</v>
      </c>
    </row>
    <row r="94">
      <c r="A94" t="inlineStr">
        <is>
          <t>2025-09</t>
        </is>
      </c>
      <c r="B94" t="inlineStr">
        <is>
          <t>Barcelona</t>
        </is>
      </c>
      <c r="C94" t="inlineStr">
        <is>
          <t>Europe</t>
        </is>
      </c>
      <c r="D94" t="n">
        <v>700</v>
      </c>
      <c r="E94" t="n">
        <v>1046454.36</v>
      </c>
      <c r="F94" t="n">
        <v>39878.47</v>
      </c>
      <c r="G94" t="n">
        <v>203753.11</v>
      </c>
      <c r="H94" t="n">
        <v>4.43</v>
      </c>
      <c r="I94" t="n">
        <v>57</v>
      </c>
      <c r="J94" t="n">
        <v>4.7</v>
      </c>
    </row>
    <row r="95">
      <c r="A95" t="inlineStr">
        <is>
          <t>2025-10</t>
        </is>
      </c>
      <c r="B95" t="inlineStr">
        <is>
          <t>Barcelona</t>
        </is>
      </c>
      <c r="C95" t="inlineStr">
        <is>
          <t>Europe</t>
        </is>
      </c>
      <c r="D95" t="n">
        <v>603</v>
      </c>
      <c r="E95" t="n">
        <v>896557.17</v>
      </c>
      <c r="F95" t="n">
        <v>33553.56</v>
      </c>
      <c r="G95" t="n">
        <v>206619.41</v>
      </c>
      <c r="H95" t="n">
        <v>4.53</v>
      </c>
      <c r="I95" t="n">
        <v>51</v>
      </c>
      <c r="J95" t="n">
        <v>4.7</v>
      </c>
    </row>
    <row r="96">
      <c r="A96" t="inlineStr">
        <is>
          <t>2025-11</t>
        </is>
      </c>
      <c r="B96" t="inlineStr">
        <is>
          <t>Barcelona</t>
        </is>
      </c>
      <c r="C96" t="inlineStr">
        <is>
          <t>Europe</t>
        </is>
      </c>
      <c r="D96" t="n">
        <v>642</v>
      </c>
      <c r="E96" t="n">
        <v>893584.35</v>
      </c>
      <c r="F96" t="n">
        <v>34302.92</v>
      </c>
      <c r="G96" t="n">
        <v>204282.79</v>
      </c>
      <c r="H96" t="n">
        <v>4.5</v>
      </c>
      <c r="I96" t="n">
        <v>54</v>
      </c>
      <c r="J96" t="n">
        <v>5.1</v>
      </c>
    </row>
    <row r="97">
      <c r="A97" t="inlineStr">
        <is>
          <t>2025-12</t>
        </is>
      </c>
      <c r="B97" t="inlineStr">
        <is>
          <t>Barcelona</t>
        </is>
      </c>
      <c r="C97" t="inlineStr">
        <is>
          <t>Europe</t>
        </is>
      </c>
      <c r="D97" t="n">
        <v>790</v>
      </c>
      <c r="E97" t="n">
        <v>1191548.11</v>
      </c>
      <c r="F97" t="n">
        <v>43840.67</v>
      </c>
      <c r="G97" t="n">
        <v>212575.51</v>
      </c>
      <c r="H97" t="n">
        <v>4.5</v>
      </c>
      <c r="I97" t="n">
        <v>69</v>
      </c>
      <c r="J97" t="n">
        <v>5.2</v>
      </c>
    </row>
    <row r="98">
      <c r="A98" t="inlineStr">
        <is>
          <t>2025-01</t>
        </is>
      </c>
      <c r="B98" t="inlineStr">
        <is>
          <t>Singapore</t>
        </is>
      </c>
      <c r="C98" t="inlineStr">
        <is>
          <t>Asia</t>
        </is>
      </c>
      <c r="D98" t="n">
        <v>1129</v>
      </c>
      <c r="E98" t="n">
        <v>1918893.51</v>
      </c>
      <c r="F98" t="n">
        <v>27660.86</v>
      </c>
      <c r="G98" t="n">
        <v>179202.11</v>
      </c>
      <c r="H98" t="n">
        <v>4.33</v>
      </c>
      <c r="I98" t="n">
        <v>42</v>
      </c>
      <c r="J98" t="n">
        <v>3.7</v>
      </c>
    </row>
    <row r="99">
      <c r="A99" t="inlineStr">
        <is>
          <t>2025-02</t>
        </is>
      </c>
      <c r="B99" t="inlineStr">
        <is>
          <t>Singapore</t>
        </is>
      </c>
      <c r="C99" t="inlineStr">
        <is>
          <t>Asia</t>
        </is>
      </c>
      <c r="D99" t="n">
        <v>1269</v>
      </c>
      <c r="E99" t="n">
        <v>2140189.49</v>
      </c>
      <c r="F99" t="n">
        <v>35313.04</v>
      </c>
      <c r="G99" t="n">
        <v>179386.48</v>
      </c>
      <c r="H99" t="n">
        <v>4.46</v>
      </c>
      <c r="I99" t="n">
        <v>54</v>
      </c>
      <c r="J99" t="n">
        <v>3.2</v>
      </c>
    </row>
    <row r="100">
      <c r="A100" t="inlineStr">
        <is>
          <t>2025-03</t>
        </is>
      </c>
      <c r="B100" t="inlineStr">
        <is>
          <t>Singapore</t>
        </is>
      </c>
      <c r="C100" t="inlineStr">
        <is>
          <t>Asia</t>
        </is>
      </c>
      <c r="D100" t="n">
        <v>1354</v>
      </c>
      <c r="E100" t="n">
        <v>2195222.24</v>
      </c>
      <c r="F100" t="n">
        <v>35424.88</v>
      </c>
      <c r="G100" t="n">
        <v>186725.82</v>
      </c>
      <c r="H100" t="n">
        <v>4.33</v>
      </c>
      <c r="I100" t="n">
        <v>53</v>
      </c>
      <c r="J100" t="n">
        <v>3.1</v>
      </c>
    </row>
    <row r="101">
      <c r="A101" t="inlineStr">
        <is>
          <t>2025-04</t>
        </is>
      </c>
      <c r="B101" t="inlineStr">
        <is>
          <t>Singapore</t>
        </is>
      </c>
      <c r="C101" t="inlineStr">
        <is>
          <t>Asia</t>
        </is>
      </c>
      <c r="D101" t="n">
        <v>1260</v>
      </c>
      <c r="E101" t="n">
        <v>2064156.29</v>
      </c>
      <c r="F101" t="n">
        <v>33182.03</v>
      </c>
      <c r="G101" t="n">
        <v>193234.72</v>
      </c>
      <c r="H101" t="n">
        <v>4.34</v>
      </c>
      <c r="I101" t="n">
        <v>47</v>
      </c>
      <c r="J101" t="n">
        <v>3.4</v>
      </c>
    </row>
    <row r="102">
      <c r="A102" t="inlineStr">
        <is>
          <t>2025-05</t>
        </is>
      </c>
      <c r="B102" t="inlineStr">
        <is>
          <t>Singapore</t>
        </is>
      </c>
      <c r="C102" t="inlineStr">
        <is>
          <t>Asia</t>
        </is>
      </c>
      <c r="D102" t="n">
        <v>1096</v>
      </c>
      <c r="E102" t="n">
        <v>1794045.46</v>
      </c>
      <c r="F102" t="n">
        <v>26279.99</v>
      </c>
      <c r="G102" t="n">
        <v>206913.17</v>
      </c>
      <c r="H102" t="n">
        <v>4.38</v>
      </c>
      <c r="I102" t="n">
        <v>45</v>
      </c>
      <c r="J102" t="n">
        <v>3.6</v>
      </c>
    </row>
    <row r="103">
      <c r="A103" t="inlineStr">
        <is>
          <t>2025-06</t>
        </is>
      </c>
      <c r="B103" t="inlineStr">
        <is>
          <t>Singapore</t>
        </is>
      </c>
      <c r="C103" t="inlineStr">
        <is>
          <t>Asia</t>
        </is>
      </c>
      <c r="D103" t="n">
        <v>931</v>
      </c>
      <c r="E103" t="n">
        <v>1476819.31</v>
      </c>
      <c r="F103" t="n">
        <v>24311.8</v>
      </c>
      <c r="G103" t="n">
        <v>198333.39</v>
      </c>
      <c r="H103" t="n">
        <v>4.3</v>
      </c>
      <c r="I103" t="n">
        <v>35</v>
      </c>
      <c r="J103" t="n">
        <v>3.7</v>
      </c>
    </row>
    <row r="104">
      <c r="A104" t="inlineStr">
        <is>
          <t>2025-07</t>
        </is>
      </c>
      <c r="B104" t="inlineStr">
        <is>
          <t>Singapore</t>
        </is>
      </c>
      <c r="C104" t="inlineStr">
        <is>
          <t>Asia</t>
        </is>
      </c>
      <c r="D104" t="n">
        <v>836</v>
      </c>
      <c r="E104" t="n">
        <v>1427745.27</v>
      </c>
      <c r="F104" t="n">
        <v>20039.95</v>
      </c>
      <c r="G104" t="n">
        <v>205511.77</v>
      </c>
      <c r="H104" t="n">
        <v>4.4</v>
      </c>
      <c r="I104" t="n">
        <v>35</v>
      </c>
      <c r="J104" t="n">
        <v>3.6</v>
      </c>
    </row>
    <row r="105">
      <c r="A105" t="inlineStr">
        <is>
          <t>2025-08</t>
        </is>
      </c>
      <c r="B105" t="inlineStr">
        <is>
          <t>Singapore</t>
        </is>
      </c>
      <c r="C105" t="inlineStr">
        <is>
          <t>Asia</t>
        </is>
      </c>
      <c r="D105" t="n">
        <v>720</v>
      </c>
      <c r="E105" t="n">
        <v>1171365.39</v>
      </c>
      <c r="F105" t="n">
        <v>20138.6</v>
      </c>
      <c r="G105" t="n">
        <v>208529.7</v>
      </c>
      <c r="H105" t="n">
        <v>4.47</v>
      </c>
      <c r="I105" t="n">
        <v>27</v>
      </c>
      <c r="J105" t="n">
        <v>3.4</v>
      </c>
    </row>
    <row r="106">
      <c r="A106" t="inlineStr">
        <is>
          <t>2025-09</t>
        </is>
      </c>
      <c r="B106" t="inlineStr">
        <is>
          <t>Singapore</t>
        </is>
      </c>
      <c r="C106" t="inlineStr">
        <is>
          <t>Asia</t>
        </is>
      </c>
      <c r="D106" t="n">
        <v>662</v>
      </c>
      <c r="E106" t="n">
        <v>1062270.91</v>
      </c>
      <c r="F106" t="n">
        <v>14891.41</v>
      </c>
      <c r="G106" t="n">
        <v>210130.36</v>
      </c>
      <c r="H106" t="n">
        <v>4.47</v>
      </c>
      <c r="I106" t="n">
        <v>27</v>
      </c>
      <c r="J106" t="n">
        <v>3.5</v>
      </c>
    </row>
    <row r="107">
      <c r="A107" t="inlineStr">
        <is>
          <t>2025-10</t>
        </is>
      </c>
      <c r="B107" t="inlineStr">
        <is>
          <t>Singapore</t>
        </is>
      </c>
      <c r="C107" t="inlineStr">
        <is>
          <t>Asia</t>
        </is>
      </c>
      <c r="D107" t="n">
        <v>683</v>
      </c>
      <c r="E107" t="n">
        <v>1141452.88</v>
      </c>
      <c r="F107" t="n">
        <v>16623.61</v>
      </c>
      <c r="G107" t="n">
        <v>215293.53</v>
      </c>
      <c r="H107" t="n">
        <v>4.27</v>
      </c>
      <c r="I107" t="n">
        <v>29</v>
      </c>
      <c r="J107" t="n">
        <v>3.7</v>
      </c>
    </row>
    <row r="108">
      <c r="A108" t="inlineStr">
        <is>
          <t>2025-11</t>
        </is>
      </c>
      <c r="B108" t="inlineStr">
        <is>
          <t>Singapore</t>
        </is>
      </c>
      <c r="C108" t="inlineStr">
        <is>
          <t>Asia</t>
        </is>
      </c>
      <c r="D108" t="n">
        <v>794</v>
      </c>
      <c r="E108" t="n">
        <v>1300896.23</v>
      </c>
      <c r="F108" t="n">
        <v>22058.69</v>
      </c>
      <c r="G108" t="n">
        <v>230349.43</v>
      </c>
      <c r="H108" t="n">
        <v>4.3</v>
      </c>
      <c r="I108" t="n">
        <v>30</v>
      </c>
      <c r="J108" t="n">
        <v>3.4</v>
      </c>
    </row>
    <row r="109">
      <c r="A109" t="inlineStr">
        <is>
          <t>2025-12</t>
        </is>
      </c>
      <c r="B109" t="inlineStr">
        <is>
          <t>Singapore</t>
        </is>
      </c>
      <c r="C109" t="inlineStr">
        <is>
          <t>Asia</t>
        </is>
      </c>
      <c r="D109" t="n">
        <v>1031</v>
      </c>
      <c r="E109" t="n">
        <v>1592047.49</v>
      </c>
      <c r="F109" t="n">
        <v>23619.86</v>
      </c>
      <c r="G109" t="n">
        <v>229333.14</v>
      </c>
      <c r="H109" t="n">
        <v>4.31</v>
      </c>
      <c r="I109" t="n">
        <v>43</v>
      </c>
      <c r="J109" t="n">
        <v>3.6</v>
      </c>
    </row>
    <row r="110">
      <c r="A110" t="inlineStr">
        <is>
          <t>2025-01</t>
        </is>
      </c>
      <c r="B110" t="inlineStr">
        <is>
          <t>Vancouver</t>
        </is>
      </c>
      <c r="C110" t="inlineStr">
        <is>
          <t>North America</t>
        </is>
      </c>
      <c r="D110" t="n">
        <v>823</v>
      </c>
      <c r="E110" t="n">
        <v>1505452.32</v>
      </c>
      <c r="F110" t="n">
        <v>34323.52</v>
      </c>
      <c r="G110" t="n">
        <v>196464.88</v>
      </c>
      <c r="H110" t="n">
        <v>4.4</v>
      </c>
      <c r="I110" t="n">
        <v>43</v>
      </c>
      <c r="J110" t="n">
        <v>4.9</v>
      </c>
    </row>
    <row r="111">
      <c r="A111" t="inlineStr">
        <is>
          <t>2025-02</t>
        </is>
      </c>
      <c r="B111" t="inlineStr">
        <is>
          <t>Vancouver</t>
        </is>
      </c>
      <c r="C111" t="inlineStr">
        <is>
          <t>North America</t>
        </is>
      </c>
      <c r="D111" t="n">
        <v>1080</v>
      </c>
      <c r="E111" t="n">
        <v>2047813.76</v>
      </c>
      <c r="F111" t="n">
        <v>46492.23</v>
      </c>
      <c r="G111" t="n">
        <v>199412.64</v>
      </c>
      <c r="H111" t="n">
        <v>4.24</v>
      </c>
      <c r="I111" t="n">
        <v>56</v>
      </c>
      <c r="J111" t="n">
        <v>5.3</v>
      </c>
    </row>
    <row r="112">
      <c r="A112" t="inlineStr">
        <is>
          <t>2025-03</t>
        </is>
      </c>
      <c r="B112" t="inlineStr">
        <is>
          <t>Vancouver</t>
        </is>
      </c>
      <c r="C112" t="inlineStr">
        <is>
          <t>North America</t>
        </is>
      </c>
      <c r="D112" t="n">
        <v>1246</v>
      </c>
      <c r="E112" t="n">
        <v>2268699.39</v>
      </c>
      <c r="F112" t="n">
        <v>49329.23</v>
      </c>
      <c r="G112" t="n">
        <v>204006.41</v>
      </c>
      <c r="H112" t="n">
        <v>4.26</v>
      </c>
      <c r="I112" t="n">
        <v>67</v>
      </c>
      <c r="J112" t="n">
        <v>4.9</v>
      </c>
    </row>
    <row r="113">
      <c r="A113" t="inlineStr">
        <is>
          <t>2025-04</t>
        </is>
      </c>
      <c r="B113" t="inlineStr">
        <is>
          <t>Vancouver</t>
        </is>
      </c>
      <c r="C113" t="inlineStr">
        <is>
          <t>North America</t>
        </is>
      </c>
      <c r="D113" t="n">
        <v>1377</v>
      </c>
      <c r="E113" t="n">
        <v>2606503.65</v>
      </c>
      <c r="F113" t="n">
        <v>60599.27</v>
      </c>
      <c r="G113" t="n">
        <v>207369.98</v>
      </c>
      <c r="H113" t="n">
        <v>4.2</v>
      </c>
      <c r="I113" t="n">
        <v>76</v>
      </c>
      <c r="J113" t="n">
        <v>5.3</v>
      </c>
    </row>
    <row r="114">
      <c r="A114" t="inlineStr">
        <is>
          <t>2025-05</t>
        </is>
      </c>
      <c r="B114" t="inlineStr">
        <is>
          <t>Vancouver</t>
        </is>
      </c>
      <c r="C114" t="inlineStr">
        <is>
          <t>North America</t>
        </is>
      </c>
      <c r="D114" t="n">
        <v>1354</v>
      </c>
      <c r="E114" t="n">
        <v>2557451.5</v>
      </c>
      <c r="F114" t="n">
        <v>61403.41</v>
      </c>
      <c r="G114" t="n">
        <v>206202.26</v>
      </c>
      <c r="H114" t="n">
        <v>4.3</v>
      </c>
      <c r="I114" t="n">
        <v>70</v>
      </c>
      <c r="J114" t="n">
        <v>4.9</v>
      </c>
    </row>
    <row r="115">
      <c r="A115" t="inlineStr">
        <is>
          <t>2025-06</t>
        </is>
      </c>
      <c r="B115" t="inlineStr">
        <is>
          <t>Vancouver</t>
        </is>
      </c>
      <c r="C115" t="inlineStr">
        <is>
          <t>North America</t>
        </is>
      </c>
      <c r="D115" t="n">
        <v>1404</v>
      </c>
      <c r="E115" t="n">
        <v>2621937.93</v>
      </c>
      <c r="F115" t="n">
        <v>63329.22</v>
      </c>
      <c r="G115" t="n">
        <v>213073.76</v>
      </c>
      <c r="H115" t="n">
        <v>4.27</v>
      </c>
      <c r="I115" t="n">
        <v>76</v>
      </c>
      <c r="J115" t="n">
        <v>5.2</v>
      </c>
    </row>
    <row r="116">
      <c r="A116" t="inlineStr">
        <is>
          <t>2025-07</t>
        </is>
      </c>
      <c r="B116" t="inlineStr">
        <is>
          <t>Vancouver</t>
        </is>
      </c>
      <c r="C116" t="inlineStr">
        <is>
          <t>North America</t>
        </is>
      </c>
      <c r="D116" t="n">
        <v>1310</v>
      </c>
      <c r="E116" t="n">
        <v>2480816.26</v>
      </c>
      <c r="F116" t="n">
        <v>54514.33</v>
      </c>
      <c r="G116" t="n">
        <v>210342.51</v>
      </c>
      <c r="H116" t="n">
        <v>4.21</v>
      </c>
      <c r="I116" t="n">
        <v>71</v>
      </c>
      <c r="J116" t="n">
        <v>5</v>
      </c>
    </row>
    <row r="117">
      <c r="A117" t="inlineStr">
        <is>
          <t>2025-08</t>
        </is>
      </c>
      <c r="B117" t="inlineStr">
        <is>
          <t>Vancouver</t>
        </is>
      </c>
      <c r="C117" t="inlineStr">
        <is>
          <t>North America</t>
        </is>
      </c>
      <c r="D117" t="n">
        <v>1134</v>
      </c>
      <c r="E117" t="n">
        <v>2159978.32</v>
      </c>
      <c r="F117" t="n">
        <v>50302.34</v>
      </c>
      <c r="G117" t="n">
        <v>229363.97</v>
      </c>
      <c r="H117" t="n">
        <v>4.2</v>
      </c>
      <c r="I117" t="n">
        <v>61</v>
      </c>
      <c r="J117" t="n">
        <v>4.9</v>
      </c>
    </row>
    <row r="118">
      <c r="A118" t="inlineStr">
        <is>
          <t>2025-09</t>
        </is>
      </c>
      <c r="B118" t="inlineStr">
        <is>
          <t>Vancouver</t>
        </is>
      </c>
      <c r="C118" t="inlineStr">
        <is>
          <t>North America</t>
        </is>
      </c>
      <c r="D118" t="n">
        <v>869</v>
      </c>
      <c r="E118" t="n">
        <v>1618296.33</v>
      </c>
      <c r="F118" t="n">
        <v>39398.78</v>
      </c>
      <c r="G118" t="n">
        <v>224252.71</v>
      </c>
      <c r="H118" t="n">
        <v>4.28</v>
      </c>
      <c r="I118" t="n">
        <v>45</v>
      </c>
      <c r="J118" t="n">
        <v>5.3</v>
      </c>
    </row>
    <row r="119">
      <c r="A119" t="inlineStr">
        <is>
          <t>2025-10</t>
        </is>
      </c>
      <c r="B119" t="inlineStr">
        <is>
          <t>Vancouver</t>
        </is>
      </c>
      <c r="C119" t="inlineStr">
        <is>
          <t>North America</t>
        </is>
      </c>
      <c r="D119" t="n">
        <v>747</v>
      </c>
      <c r="E119" t="n">
        <v>1431764.55</v>
      </c>
      <c r="F119" t="n">
        <v>31481</v>
      </c>
      <c r="G119" t="n">
        <v>224837.31</v>
      </c>
      <c r="H119" t="n">
        <v>4.33</v>
      </c>
      <c r="I119" t="n">
        <v>39</v>
      </c>
      <c r="J119" t="n">
        <v>5.3</v>
      </c>
    </row>
    <row r="120">
      <c r="A120" t="inlineStr">
        <is>
          <t>2025-11</t>
        </is>
      </c>
      <c r="B120" t="inlineStr">
        <is>
          <t>Vancouver</t>
        </is>
      </c>
      <c r="C120" t="inlineStr">
        <is>
          <t>North America</t>
        </is>
      </c>
      <c r="D120" t="n">
        <v>645</v>
      </c>
      <c r="E120" t="n">
        <v>1245778.79</v>
      </c>
      <c r="F120" t="n">
        <v>26408.72</v>
      </c>
      <c r="G120" t="n">
        <v>238418.79</v>
      </c>
      <c r="H120" t="n">
        <v>4.31</v>
      </c>
      <c r="I120" t="n">
        <v>36</v>
      </c>
      <c r="J120" t="n">
        <v>5.4</v>
      </c>
    </row>
    <row r="121">
      <c r="A121" t="inlineStr">
        <is>
          <t>2025-12</t>
        </is>
      </c>
      <c r="B121" t="inlineStr">
        <is>
          <t>Vancouver</t>
        </is>
      </c>
      <c r="C121" t="inlineStr">
        <is>
          <t>North America</t>
        </is>
      </c>
      <c r="D121" t="n">
        <v>769</v>
      </c>
      <c r="E121" t="n">
        <v>1409176</v>
      </c>
      <c r="F121" t="n">
        <v>33449.65</v>
      </c>
      <c r="G121" t="n">
        <v>241292.22</v>
      </c>
      <c r="H121" t="n">
        <v>4.32</v>
      </c>
      <c r="I121" t="n">
        <v>43</v>
      </c>
      <c r="J121" t="n">
        <v>5.1</v>
      </c>
    </row>
    <row r="122">
      <c r="A122" t="inlineStr">
        <is>
          <t>2025-01</t>
        </is>
      </c>
      <c r="B122" t="inlineStr">
        <is>
          <t>Marrakech</t>
        </is>
      </c>
      <c r="C122" t="inlineStr">
        <is>
          <t>Africa</t>
        </is>
      </c>
      <c r="D122" t="n">
        <v>1077</v>
      </c>
      <c r="E122" t="n">
        <v>1170250.83</v>
      </c>
      <c r="F122" t="n">
        <v>36899.4</v>
      </c>
      <c r="G122" t="n">
        <v>201849.77</v>
      </c>
      <c r="H122" t="n">
        <v>4.52</v>
      </c>
      <c r="I122" t="n">
        <v>74</v>
      </c>
      <c r="J122" t="n">
        <v>4.7</v>
      </c>
    </row>
    <row r="123">
      <c r="A123" t="inlineStr">
        <is>
          <t>2025-02</t>
        </is>
      </c>
      <c r="B123" t="inlineStr">
        <is>
          <t>Marrakech</t>
        </is>
      </c>
      <c r="C123" t="inlineStr">
        <is>
          <t>Africa</t>
        </is>
      </c>
      <c r="D123" t="n">
        <v>1372</v>
      </c>
      <c r="E123" t="n">
        <v>1511584.66</v>
      </c>
      <c r="F123" t="n">
        <v>43430.3</v>
      </c>
      <c r="G123" t="n">
        <v>205685.9</v>
      </c>
      <c r="H123" t="n">
        <v>4.59</v>
      </c>
      <c r="I123" t="n">
        <v>96</v>
      </c>
      <c r="J123" t="n">
        <v>4.5</v>
      </c>
    </row>
    <row r="124">
      <c r="A124" t="inlineStr">
        <is>
          <t>2025-03</t>
        </is>
      </c>
      <c r="B124" t="inlineStr">
        <is>
          <t>Marrakech</t>
        </is>
      </c>
      <c r="C124" t="inlineStr">
        <is>
          <t>Africa</t>
        </is>
      </c>
      <c r="D124" t="n">
        <v>1424</v>
      </c>
      <c r="E124" t="n">
        <v>1546256.15</v>
      </c>
      <c r="F124" t="n">
        <v>45286.66</v>
      </c>
      <c r="G124" t="n">
        <v>207081.86</v>
      </c>
      <c r="H124" t="n">
        <v>4.6</v>
      </c>
      <c r="I124" t="n">
        <v>95</v>
      </c>
      <c r="J124" t="n">
        <v>5</v>
      </c>
    </row>
    <row r="125">
      <c r="A125" t="inlineStr">
        <is>
          <t>2025-04</t>
        </is>
      </c>
      <c r="B125" t="inlineStr">
        <is>
          <t>Marrakech</t>
        </is>
      </c>
      <c r="C125" t="inlineStr">
        <is>
          <t>Africa</t>
        </is>
      </c>
      <c r="D125" t="n">
        <v>1469</v>
      </c>
      <c r="E125" t="n">
        <v>1590276.4</v>
      </c>
      <c r="F125" t="n">
        <v>50488.26</v>
      </c>
      <c r="G125" t="n">
        <v>212648.32</v>
      </c>
      <c r="H125" t="n">
        <v>4.49</v>
      </c>
      <c r="I125" t="n">
        <v>104</v>
      </c>
      <c r="J125" t="n">
        <v>4.6</v>
      </c>
    </row>
    <row r="126">
      <c r="A126" t="inlineStr">
        <is>
          <t>2025-05</t>
        </is>
      </c>
      <c r="B126" t="inlineStr">
        <is>
          <t>Marrakech</t>
        </is>
      </c>
      <c r="C126" t="inlineStr">
        <is>
          <t>Africa</t>
        </is>
      </c>
      <c r="D126" t="n">
        <v>1437</v>
      </c>
      <c r="E126" t="n">
        <v>1550656.07</v>
      </c>
      <c r="F126" t="n">
        <v>44028.11</v>
      </c>
      <c r="G126" t="n">
        <v>221823.27</v>
      </c>
      <c r="H126" t="n">
        <v>4.47</v>
      </c>
      <c r="I126" t="n">
        <v>106</v>
      </c>
      <c r="J126" t="n">
        <v>4.5</v>
      </c>
    </row>
    <row r="127">
      <c r="A127" t="inlineStr">
        <is>
          <t>2025-06</t>
        </is>
      </c>
      <c r="B127" t="inlineStr">
        <is>
          <t>Marrakech</t>
        </is>
      </c>
      <c r="C127" t="inlineStr">
        <is>
          <t>Africa</t>
        </is>
      </c>
      <c r="D127" t="n">
        <v>1361</v>
      </c>
      <c r="E127" t="n">
        <v>1480865.16</v>
      </c>
      <c r="F127" t="n">
        <v>41984.42</v>
      </c>
      <c r="G127" t="n">
        <v>225555.77</v>
      </c>
      <c r="H127" t="n">
        <v>4.57</v>
      </c>
      <c r="I127" t="n">
        <v>92</v>
      </c>
      <c r="J127" t="n">
        <v>4.6</v>
      </c>
    </row>
    <row r="128">
      <c r="A128" t="inlineStr">
        <is>
          <t>2025-07</t>
        </is>
      </c>
      <c r="B128" t="inlineStr">
        <is>
          <t>Marrakech</t>
        </is>
      </c>
      <c r="C128" t="inlineStr">
        <is>
          <t>Africa</t>
        </is>
      </c>
      <c r="D128" t="n">
        <v>1064</v>
      </c>
      <c r="E128" t="n">
        <v>1152394.59</v>
      </c>
      <c r="F128" t="n">
        <v>33684.6</v>
      </c>
      <c r="G128" t="n">
        <v>225784.5</v>
      </c>
      <c r="H128" t="n">
        <v>4.58</v>
      </c>
      <c r="I128" t="n">
        <v>74</v>
      </c>
      <c r="J128" t="n">
        <v>4.6</v>
      </c>
    </row>
    <row r="129">
      <c r="A129" t="inlineStr">
        <is>
          <t>2025-08</t>
        </is>
      </c>
      <c r="B129" t="inlineStr">
        <is>
          <t>Marrakech</t>
        </is>
      </c>
      <c r="C129" t="inlineStr">
        <is>
          <t>Africa</t>
        </is>
      </c>
      <c r="D129" t="n">
        <v>914</v>
      </c>
      <c r="E129" t="n">
        <v>1009789.69</v>
      </c>
      <c r="F129" t="n">
        <v>31628.74</v>
      </c>
      <c r="G129" t="n">
        <v>232438.08</v>
      </c>
      <c r="H129" t="n">
        <v>4.63</v>
      </c>
      <c r="I129" t="n">
        <v>61</v>
      </c>
      <c r="J129" t="n">
        <v>5</v>
      </c>
    </row>
    <row r="130">
      <c r="A130" t="inlineStr">
        <is>
          <t>2025-09</t>
        </is>
      </c>
      <c r="B130" t="inlineStr">
        <is>
          <t>Marrakech</t>
        </is>
      </c>
      <c r="C130" t="inlineStr">
        <is>
          <t>Africa</t>
        </is>
      </c>
      <c r="D130" t="n">
        <v>780</v>
      </c>
      <c r="E130" t="n">
        <v>887550.45</v>
      </c>
      <c r="F130" t="n">
        <v>26713.86</v>
      </c>
      <c r="G130" t="n">
        <v>236707.34</v>
      </c>
      <c r="H130" t="n">
        <v>4.54</v>
      </c>
      <c r="I130" t="n">
        <v>53</v>
      </c>
      <c r="J130" t="n">
        <v>5</v>
      </c>
    </row>
    <row r="131">
      <c r="A131" t="inlineStr">
        <is>
          <t>2025-10</t>
        </is>
      </c>
      <c r="B131" t="inlineStr">
        <is>
          <t>Marrakech</t>
        </is>
      </c>
      <c r="C131" t="inlineStr">
        <is>
          <t>Africa</t>
        </is>
      </c>
      <c r="D131" t="n">
        <v>733</v>
      </c>
      <c r="E131" t="n">
        <v>819696.15</v>
      </c>
      <c r="F131" t="n">
        <v>24306.52</v>
      </c>
      <c r="G131" t="n">
        <v>247337.89</v>
      </c>
      <c r="H131" t="n">
        <v>4.54</v>
      </c>
      <c r="I131" t="n">
        <v>51</v>
      </c>
      <c r="J131" t="n">
        <v>4.9</v>
      </c>
    </row>
    <row r="132">
      <c r="A132" t="inlineStr">
        <is>
          <t>2025-11</t>
        </is>
      </c>
      <c r="B132" t="inlineStr">
        <is>
          <t>Marrakech</t>
        </is>
      </c>
      <c r="C132" t="inlineStr">
        <is>
          <t>Africa</t>
        </is>
      </c>
      <c r="D132" t="n">
        <v>804</v>
      </c>
      <c r="E132" t="n">
        <v>946620.73</v>
      </c>
      <c r="F132" t="n">
        <v>30188.24</v>
      </c>
      <c r="G132" t="n">
        <v>239382.94</v>
      </c>
      <c r="H132" t="n">
        <v>4.56</v>
      </c>
      <c r="I132" t="n">
        <v>54</v>
      </c>
      <c r="J132" t="n">
        <v>4.9</v>
      </c>
    </row>
    <row r="133">
      <c r="A133" t="inlineStr">
        <is>
          <t>2025-12</t>
        </is>
      </c>
      <c r="B133" t="inlineStr">
        <is>
          <t>Marrakech</t>
        </is>
      </c>
      <c r="C133" t="inlineStr">
        <is>
          <t>Africa</t>
        </is>
      </c>
      <c r="D133" t="n">
        <v>939</v>
      </c>
      <c r="E133" t="n">
        <v>1125674.13</v>
      </c>
      <c r="F133" t="n">
        <v>34094.57</v>
      </c>
      <c r="G133" t="n">
        <v>251564.53</v>
      </c>
      <c r="H133" t="n">
        <v>4.52</v>
      </c>
      <c r="I133" t="n">
        <v>69</v>
      </c>
      <c r="J133" t="n">
        <v>5</v>
      </c>
    </row>
    <row r="134">
      <c r="A134" t="inlineStr">
        <is>
          <t>2025-01</t>
        </is>
      </c>
      <c r="B134" t="inlineStr">
        <is>
          <t>Queenstown</t>
        </is>
      </c>
      <c r="C134" t="inlineStr">
        <is>
          <t>Oceania</t>
        </is>
      </c>
      <c r="D134" t="n">
        <v>1489</v>
      </c>
      <c r="E134" t="n">
        <v>1816488.31</v>
      </c>
      <c r="F134" t="n">
        <v>68145.60000000001</v>
      </c>
      <c r="G134" t="n">
        <v>217179.82</v>
      </c>
      <c r="H134" t="n">
        <v>4.61</v>
      </c>
      <c r="I134" t="n">
        <v>127</v>
      </c>
      <c r="J134" t="n">
        <v>4.2</v>
      </c>
    </row>
    <row r="135">
      <c r="A135" t="inlineStr">
        <is>
          <t>2025-02</t>
        </is>
      </c>
      <c r="B135" t="inlineStr">
        <is>
          <t>Queenstown</t>
        </is>
      </c>
      <c r="C135" t="inlineStr">
        <is>
          <t>Oceania</t>
        </is>
      </c>
      <c r="D135" t="n">
        <v>1486</v>
      </c>
      <c r="E135" t="n">
        <v>2019231.86</v>
      </c>
      <c r="F135" t="n">
        <v>76798.8</v>
      </c>
      <c r="G135" t="n">
        <v>222812.96</v>
      </c>
      <c r="H135" t="n">
        <v>4.43</v>
      </c>
      <c r="I135" t="n">
        <v>125</v>
      </c>
      <c r="J135" t="n">
        <v>4</v>
      </c>
    </row>
    <row r="136">
      <c r="A136" t="inlineStr">
        <is>
          <t>2025-03</t>
        </is>
      </c>
      <c r="B136" t="inlineStr">
        <is>
          <t>Queenstown</t>
        </is>
      </c>
      <c r="C136" t="inlineStr">
        <is>
          <t>Oceania</t>
        </is>
      </c>
      <c r="D136" t="n">
        <v>1614</v>
      </c>
      <c r="E136" t="n">
        <v>2159607.84</v>
      </c>
      <c r="F136" t="n">
        <v>80081.21000000001</v>
      </c>
      <c r="G136" t="n">
        <v>223045.01</v>
      </c>
      <c r="H136" t="n">
        <v>4.46</v>
      </c>
      <c r="I136" t="n">
        <v>133</v>
      </c>
      <c r="J136" t="n">
        <v>4.1</v>
      </c>
    </row>
    <row r="137">
      <c r="A137" t="inlineStr">
        <is>
          <t>2025-04</t>
        </is>
      </c>
      <c r="B137" t="inlineStr">
        <is>
          <t>Queenstown</t>
        </is>
      </c>
      <c r="C137" t="inlineStr">
        <is>
          <t>Oceania</t>
        </is>
      </c>
      <c r="D137" t="n">
        <v>1542</v>
      </c>
      <c r="E137" t="n">
        <v>2058480.57</v>
      </c>
      <c r="F137" t="n">
        <v>77165.67</v>
      </c>
      <c r="G137" t="n">
        <v>218296.2</v>
      </c>
      <c r="H137" t="n">
        <v>4.59</v>
      </c>
      <c r="I137" t="n">
        <v>127</v>
      </c>
      <c r="J137" t="n">
        <v>4.2</v>
      </c>
    </row>
    <row r="138">
      <c r="A138" t="inlineStr">
        <is>
          <t>2025-05</t>
        </is>
      </c>
      <c r="B138" t="inlineStr">
        <is>
          <t>Queenstown</t>
        </is>
      </c>
      <c r="C138" t="inlineStr">
        <is>
          <t>Oceania</t>
        </is>
      </c>
      <c r="D138" t="n">
        <v>1406</v>
      </c>
      <c r="E138" t="n">
        <v>1866803.16</v>
      </c>
      <c r="F138" t="n">
        <v>72773.3</v>
      </c>
      <c r="G138" t="n">
        <v>231550.19</v>
      </c>
      <c r="H138" t="n">
        <v>4.52</v>
      </c>
      <c r="I138" t="n">
        <v>114</v>
      </c>
      <c r="J138" t="n">
        <v>3.8</v>
      </c>
    </row>
    <row r="139">
      <c r="A139" t="inlineStr">
        <is>
          <t>2025-06</t>
        </is>
      </c>
      <c r="B139" t="inlineStr">
        <is>
          <t>Queenstown</t>
        </is>
      </c>
      <c r="C139" t="inlineStr">
        <is>
          <t>Oceania</t>
        </is>
      </c>
      <c r="D139" t="n">
        <v>1166</v>
      </c>
      <c r="E139" t="n">
        <v>1558767.15</v>
      </c>
      <c r="F139" t="n">
        <v>56841.69</v>
      </c>
      <c r="G139" t="n">
        <v>236738.55</v>
      </c>
      <c r="H139" t="n">
        <v>4.48</v>
      </c>
      <c r="I139" t="n">
        <v>101</v>
      </c>
      <c r="J139" t="n">
        <v>4.3</v>
      </c>
    </row>
    <row r="140">
      <c r="A140" t="inlineStr">
        <is>
          <t>2025-07</t>
        </is>
      </c>
      <c r="B140" t="inlineStr">
        <is>
          <t>Queenstown</t>
        </is>
      </c>
      <c r="C140" t="inlineStr">
        <is>
          <t>Oceania</t>
        </is>
      </c>
      <c r="D140" t="n">
        <v>1030</v>
      </c>
      <c r="E140" t="n">
        <v>1394019.25</v>
      </c>
      <c r="F140" t="n">
        <v>53368.56</v>
      </c>
      <c r="G140" t="n">
        <v>242521.31</v>
      </c>
      <c r="H140" t="n">
        <v>4.41</v>
      </c>
      <c r="I140" t="n">
        <v>86</v>
      </c>
      <c r="J140" t="n">
        <v>4.2</v>
      </c>
    </row>
    <row r="141">
      <c r="A141" t="inlineStr">
        <is>
          <t>2025-08</t>
        </is>
      </c>
      <c r="B141" t="inlineStr">
        <is>
          <t>Queenstown</t>
        </is>
      </c>
      <c r="C141" t="inlineStr">
        <is>
          <t>Oceania</t>
        </is>
      </c>
      <c r="D141" t="n">
        <v>866</v>
      </c>
      <c r="E141" t="n">
        <v>1083503</v>
      </c>
      <c r="F141" t="n">
        <v>40453.7</v>
      </c>
      <c r="G141" t="n">
        <v>253013.4</v>
      </c>
      <c r="H141" t="n">
        <v>4.54</v>
      </c>
      <c r="I141" t="n">
        <v>75</v>
      </c>
      <c r="J141" t="n">
        <v>3.8</v>
      </c>
    </row>
    <row r="142">
      <c r="A142" t="inlineStr">
        <is>
          <t>2025-09</t>
        </is>
      </c>
      <c r="B142" t="inlineStr">
        <is>
          <t>Queenstown</t>
        </is>
      </c>
      <c r="C142" t="inlineStr">
        <is>
          <t>Oceania</t>
        </is>
      </c>
      <c r="D142" t="n">
        <v>790</v>
      </c>
      <c r="E142" t="n">
        <v>1002267.63</v>
      </c>
      <c r="F142" t="n">
        <v>38190.77</v>
      </c>
      <c r="G142" t="n">
        <v>247853.12</v>
      </c>
      <c r="H142" t="n">
        <v>4.6</v>
      </c>
      <c r="I142" t="n">
        <v>65</v>
      </c>
      <c r="J142" t="n">
        <v>3.9</v>
      </c>
    </row>
    <row r="143">
      <c r="A143" t="inlineStr">
        <is>
          <t>2025-10</t>
        </is>
      </c>
      <c r="B143" t="inlineStr">
        <is>
          <t>Queenstown</t>
        </is>
      </c>
      <c r="C143" t="inlineStr">
        <is>
          <t>Oceania</t>
        </is>
      </c>
      <c r="D143" t="n">
        <v>854</v>
      </c>
      <c r="E143" t="n">
        <v>1148076.12</v>
      </c>
      <c r="F143" t="n">
        <v>44701.58</v>
      </c>
      <c r="G143" t="n">
        <v>258769.12</v>
      </c>
      <c r="H143" t="n">
        <v>4.56</v>
      </c>
      <c r="I143" t="n">
        <v>72</v>
      </c>
      <c r="J143" t="n">
        <v>4.3</v>
      </c>
    </row>
    <row r="144">
      <c r="A144" t="inlineStr">
        <is>
          <t>2025-11</t>
        </is>
      </c>
      <c r="B144" t="inlineStr">
        <is>
          <t>Queenstown</t>
        </is>
      </c>
      <c r="C144" t="inlineStr">
        <is>
          <t>Oceania</t>
        </is>
      </c>
      <c r="D144" t="n">
        <v>948</v>
      </c>
      <c r="E144" t="n">
        <v>1241002.89</v>
      </c>
      <c r="F144" t="n">
        <v>48097.24</v>
      </c>
      <c r="G144" t="n">
        <v>264094.52</v>
      </c>
      <c r="H144" t="n">
        <v>4.54</v>
      </c>
      <c r="I144" t="n">
        <v>77</v>
      </c>
      <c r="J144" t="n">
        <v>3.8</v>
      </c>
    </row>
    <row r="145">
      <c r="A145" t="inlineStr">
        <is>
          <t>2025-12</t>
        </is>
      </c>
      <c r="B145" t="inlineStr">
        <is>
          <t>Queenstown</t>
        </is>
      </c>
      <c r="C145" t="inlineStr">
        <is>
          <t>Oceania</t>
        </is>
      </c>
      <c r="D145" t="n">
        <v>1209</v>
      </c>
      <c r="E145" t="n">
        <v>1582442.72</v>
      </c>
      <c r="F145" t="n">
        <v>59840.85</v>
      </c>
      <c r="G145" t="n">
        <v>270212.56</v>
      </c>
      <c r="H145" t="n">
        <v>4.57</v>
      </c>
      <c r="I145" t="n">
        <v>98</v>
      </c>
      <c r="J145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</t>
        </is>
      </c>
      <c r="B1" s="1" t="inlineStr">
        <is>
          <t>Region</t>
        </is>
      </c>
      <c r="C1" s="1" t="inlineStr">
        <is>
          <t>Bookings</t>
        </is>
      </c>
      <c r="D1" s="1" t="inlineStr">
        <is>
          <t>Gross Revenue</t>
        </is>
      </c>
      <c r="E1" s="1" t="inlineStr">
        <is>
          <t>Refunds</t>
        </is>
      </c>
      <c r="F1" s="1" t="inlineStr">
        <is>
          <t>Marketing Spend</t>
        </is>
      </c>
      <c r="G1" s="1" t="inlineStr">
        <is>
          <t>Rating</t>
        </is>
      </c>
      <c r="H1" s="1" t="inlineStr">
        <is>
          <t>Cancellations</t>
        </is>
      </c>
      <c r="I1" s="1" t="inlineStr">
        <is>
          <t>Avg Trip Days</t>
        </is>
      </c>
      <c r="J1" s="1" t="inlineStr">
        <is>
          <t>Cancel %</t>
        </is>
      </c>
      <c r="K1" t="inlineStr">
        <is>
          <t>Rev / Booking</t>
        </is>
      </c>
    </row>
    <row r="2">
      <c r="A2" t="inlineStr">
        <is>
          <t>Paris</t>
        </is>
      </c>
      <c r="B2">
        <f>INDEX('Raw Data'!C:C,MATCH(A2,'Raw Data'!B:B,0))</f>
        <v/>
      </c>
      <c r="C2">
        <f>SUMIF('Raw Data'!B:B,A2,'Raw Data'!D:D)</f>
        <v/>
      </c>
      <c r="D2">
        <f>SUMIF('Raw Data'!B:B,A2,'Raw Data'!E:E)</f>
        <v/>
      </c>
      <c r="E2">
        <f>SUMIF('Raw Data'!B:B,A2,'Raw Data'!F:F)</f>
        <v/>
      </c>
      <c r="F2">
        <f>SUMIF('Raw Data'!B:B,A2,'Raw Data'!G:G)</f>
        <v/>
      </c>
      <c r="G2">
        <f>ROUND(AVERAGEIF('Raw Data'!B:B,A2,'Raw Data'!H:H),2)</f>
        <v/>
      </c>
      <c r="H2">
        <f>SUMIF('Raw Data'!B:B,A2,'Raw Data'!I:I)</f>
        <v/>
      </c>
      <c r="I2">
        <f>ROUND(AVERAGEIF('Raw Data'!B:B,A2,'Raw Data'!J:J),1)</f>
        <v/>
      </c>
      <c r="J2">
        <f>ROUND(E2/C2*100,1)</f>
        <v/>
      </c>
      <c r="K2">
        <f>ROUND(D2/C2,0)</f>
        <v/>
      </c>
    </row>
    <row r="3">
      <c r="A3" t="inlineStr">
        <is>
          <t>Tokyo</t>
        </is>
      </c>
      <c r="B3">
        <f>INDEX('Raw Data'!C:C,MATCH(A3,'Raw Data'!B:B,0))</f>
        <v/>
      </c>
      <c r="C3">
        <f>SUMIF('Raw Data'!B:B,A3,'Raw Data'!D:D)</f>
        <v/>
      </c>
      <c r="D3">
        <f>SUMIF('Raw Data'!B:B,A3,'Raw Data'!E:E)</f>
        <v/>
      </c>
      <c r="E3">
        <f>SUMIF('Raw Data'!B:B,A3,'Raw Data'!F:F)</f>
        <v/>
      </c>
      <c r="F3">
        <f>SUMIF('Raw Data'!B:B,A3,'Raw Data'!G:G)</f>
        <v/>
      </c>
      <c r="G3">
        <f>ROUND(AVERAGEIF('Raw Data'!B:B,A3,'Raw Data'!H:H),2)</f>
        <v/>
      </c>
      <c r="H3">
        <f>SUMIF('Raw Data'!B:B,A3,'Raw Data'!I:I)</f>
        <v/>
      </c>
      <c r="I3">
        <f>ROUND(AVERAGEIF('Raw Data'!B:B,A3,'Raw Data'!J:J),1)</f>
        <v/>
      </c>
      <c r="J3">
        <f>ROUND(E3/C3*100,1)</f>
        <v/>
      </c>
      <c r="K3">
        <f>ROUND(D3/C3,0)</f>
        <v/>
      </c>
    </row>
    <row r="4">
      <c r="A4" t="inlineStr">
        <is>
          <t>Sydney</t>
        </is>
      </c>
      <c r="B4">
        <f>INDEX('Raw Data'!C:C,MATCH(A4,'Raw Data'!B:B,0))</f>
        <v/>
      </c>
      <c r="C4">
        <f>SUMIF('Raw Data'!B:B,A4,'Raw Data'!D:D)</f>
        <v/>
      </c>
      <c r="D4">
        <f>SUMIF('Raw Data'!B:B,A4,'Raw Data'!E:E)</f>
        <v/>
      </c>
      <c r="E4">
        <f>SUMIF('Raw Data'!B:B,A4,'Raw Data'!F:F)</f>
        <v/>
      </c>
      <c r="F4">
        <f>SUMIF('Raw Data'!B:B,A4,'Raw Data'!G:G)</f>
        <v/>
      </c>
      <c r="G4">
        <f>ROUND(AVERAGEIF('Raw Data'!B:B,A4,'Raw Data'!H:H),2)</f>
        <v/>
      </c>
      <c r="H4">
        <f>SUMIF('Raw Data'!B:B,A4,'Raw Data'!I:I)</f>
        <v/>
      </c>
      <c r="I4">
        <f>ROUND(AVERAGEIF('Raw Data'!B:B,A4,'Raw Data'!J:J),1)</f>
        <v/>
      </c>
      <c r="J4">
        <f>ROUND(E4/C4*100,1)</f>
        <v/>
      </c>
      <c r="K4">
        <f>ROUND(D4/C4,0)</f>
        <v/>
      </c>
    </row>
    <row r="5">
      <c r="A5" t="inlineStr">
        <is>
          <t>New York</t>
        </is>
      </c>
      <c r="B5">
        <f>INDEX('Raw Data'!C:C,MATCH(A5,'Raw Data'!B:B,0))</f>
        <v/>
      </c>
      <c r="C5">
        <f>SUMIF('Raw Data'!B:B,A5,'Raw Data'!D:D)</f>
        <v/>
      </c>
      <c r="D5">
        <f>SUMIF('Raw Data'!B:B,A5,'Raw Data'!E:E)</f>
        <v/>
      </c>
      <c r="E5">
        <f>SUMIF('Raw Data'!B:B,A5,'Raw Data'!F:F)</f>
        <v/>
      </c>
      <c r="F5">
        <f>SUMIF('Raw Data'!B:B,A5,'Raw Data'!G:G)</f>
        <v/>
      </c>
      <c r="G5">
        <f>ROUND(AVERAGEIF('Raw Data'!B:B,A5,'Raw Data'!H:H),2)</f>
        <v/>
      </c>
      <c r="H5">
        <f>SUMIF('Raw Data'!B:B,A5,'Raw Data'!I:I)</f>
        <v/>
      </c>
      <c r="I5">
        <f>ROUND(AVERAGEIF('Raw Data'!B:B,A5,'Raw Data'!J:J),1)</f>
        <v/>
      </c>
      <c r="J5">
        <f>ROUND(E5/C5*100,1)</f>
        <v/>
      </c>
      <c r="K5">
        <f>ROUND(D5/C5,0)</f>
        <v/>
      </c>
    </row>
    <row r="6">
      <c r="A6" t="inlineStr">
        <is>
          <t>Cape Town</t>
        </is>
      </c>
      <c r="B6">
        <f>INDEX('Raw Data'!C:C,MATCH(A6,'Raw Data'!B:B,0))</f>
        <v/>
      </c>
      <c r="C6">
        <f>SUMIF('Raw Data'!B:B,A6,'Raw Data'!D:D)</f>
        <v/>
      </c>
      <c r="D6">
        <f>SUMIF('Raw Data'!B:B,A6,'Raw Data'!E:E)</f>
        <v/>
      </c>
      <c r="E6">
        <f>SUMIF('Raw Data'!B:B,A6,'Raw Data'!F:F)</f>
        <v/>
      </c>
      <c r="F6">
        <f>SUMIF('Raw Data'!B:B,A6,'Raw Data'!G:G)</f>
        <v/>
      </c>
      <c r="G6">
        <f>ROUND(AVERAGEIF('Raw Data'!B:B,A6,'Raw Data'!H:H),2)</f>
        <v/>
      </c>
      <c r="H6">
        <f>SUMIF('Raw Data'!B:B,A6,'Raw Data'!I:I)</f>
        <v/>
      </c>
      <c r="I6">
        <f>ROUND(AVERAGEIF('Raw Data'!B:B,A6,'Raw Data'!J:J),1)</f>
        <v/>
      </c>
      <c r="J6">
        <f>ROUND(E6/C6*100,1)</f>
        <v/>
      </c>
      <c r="K6">
        <f>ROUND(D6/C6,0)</f>
        <v/>
      </c>
    </row>
    <row r="7">
      <c r="A7" t="inlineStr">
        <is>
          <t>Rio de Janeiro</t>
        </is>
      </c>
      <c r="B7">
        <f>INDEX('Raw Data'!C:C,MATCH(A7,'Raw Data'!B:B,0))</f>
        <v/>
      </c>
      <c r="C7">
        <f>SUMIF('Raw Data'!B:B,A7,'Raw Data'!D:D)</f>
        <v/>
      </c>
      <c r="D7">
        <f>SUMIF('Raw Data'!B:B,A7,'Raw Data'!E:E)</f>
        <v/>
      </c>
      <c r="E7">
        <f>SUMIF('Raw Data'!B:B,A7,'Raw Data'!F:F)</f>
        <v/>
      </c>
      <c r="F7">
        <f>SUMIF('Raw Data'!B:B,A7,'Raw Data'!G:G)</f>
        <v/>
      </c>
      <c r="G7">
        <f>ROUND(AVERAGEIF('Raw Data'!B:B,A7,'Raw Data'!H:H),2)</f>
        <v/>
      </c>
      <c r="H7">
        <f>SUMIF('Raw Data'!B:B,A7,'Raw Data'!I:I)</f>
        <v/>
      </c>
      <c r="I7">
        <f>ROUND(AVERAGEIF('Raw Data'!B:B,A7,'Raw Data'!J:J),1)</f>
        <v/>
      </c>
      <c r="J7">
        <f>ROUND(E7/C7*100,1)</f>
        <v/>
      </c>
      <c r="K7">
        <f>ROUND(D7/C7,0)</f>
        <v/>
      </c>
    </row>
    <row r="8">
      <c r="A8" t="inlineStr">
        <is>
          <t>Dubai</t>
        </is>
      </c>
      <c r="B8">
        <f>INDEX('Raw Data'!C:C,MATCH(A8,'Raw Data'!B:B,0))</f>
        <v/>
      </c>
      <c r="C8">
        <f>SUMIF('Raw Data'!B:B,A8,'Raw Data'!D:D)</f>
        <v/>
      </c>
      <c r="D8">
        <f>SUMIF('Raw Data'!B:B,A8,'Raw Data'!E:E)</f>
        <v/>
      </c>
      <c r="E8">
        <f>SUMIF('Raw Data'!B:B,A8,'Raw Data'!F:F)</f>
        <v/>
      </c>
      <c r="F8">
        <f>SUMIF('Raw Data'!B:B,A8,'Raw Data'!G:G)</f>
        <v/>
      </c>
      <c r="G8">
        <f>ROUND(AVERAGEIF('Raw Data'!B:B,A8,'Raw Data'!H:H),2)</f>
        <v/>
      </c>
      <c r="H8">
        <f>SUMIF('Raw Data'!B:B,A8,'Raw Data'!I:I)</f>
        <v/>
      </c>
      <c r="I8">
        <f>ROUND(AVERAGEIF('Raw Data'!B:B,A8,'Raw Data'!J:J),1)</f>
        <v/>
      </c>
      <c r="J8">
        <f>ROUND(E8/C8*100,1)</f>
        <v/>
      </c>
      <c r="K8">
        <f>ROUND(D8/C8,0)</f>
        <v/>
      </c>
    </row>
    <row r="9">
      <c r="A9" t="inlineStr">
        <is>
          <t>Barcelona</t>
        </is>
      </c>
      <c r="B9">
        <f>INDEX('Raw Data'!C:C,MATCH(A9,'Raw Data'!B:B,0))</f>
        <v/>
      </c>
      <c r="C9">
        <f>SUMIF('Raw Data'!B:B,A9,'Raw Data'!D:D)</f>
        <v/>
      </c>
      <c r="D9">
        <f>SUMIF('Raw Data'!B:B,A9,'Raw Data'!E:E)</f>
        <v/>
      </c>
      <c r="E9">
        <f>SUMIF('Raw Data'!B:B,A9,'Raw Data'!F:F)</f>
        <v/>
      </c>
      <c r="F9">
        <f>SUMIF('Raw Data'!B:B,A9,'Raw Data'!G:G)</f>
        <v/>
      </c>
      <c r="G9">
        <f>ROUND(AVERAGEIF('Raw Data'!B:B,A9,'Raw Data'!H:H),2)</f>
        <v/>
      </c>
      <c r="H9">
        <f>SUMIF('Raw Data'!B:B,A9,'Raw Data'!I:I)</f>
        <v/>
      </c>
      <c r="I9">
        <f>ROUND(AVERAGEIF('Raw Data'!B:B,A9,'Raw Data'!J:J),1)</f>
        <v/>
      </c>
      <c r="J9">
        <f>ROUND(E9/C9*100,1)</f>
        <v/>
      </c>
      <c r="K9">
        <f>ROUND(D9/C9,0)</f>
        <v/>
      </c>
    </row>
    <row r="10">
      <c r="A10" t="inlineStr">
        <is>
          <t>Singapore</t>
        </is>
      </c>
      <c r="B10">
        <f>INDEX('Raw Data'!C:C,MATCH(A10,'Raw Data'!B:B,0))</f>
        <v/>
      </c>
      <c r="C10">
        <f>SUMIF('Raw Data'!B:B,A10,'Raw Data'!D:D)</f>
        <v/>
      </c>
      <c r="D10">
        <f>SUMIF('Raw Data'!B:B,A10,'Raw Data'!E:E)</f>
        <v/>
      </c>
      <c r="E10">
        <f>SUMIF('Raw Data'!B:B,A10,'Raw Data'!F:F)</f>
        <v/>
      </c>
      <c r="F10">
        <f>SUMIF('Raw Data'!B:B,A10,'Raw Data'!G:G)</f>
        <v/>
      </c>
      <c r="G10">
        <f>ROUND(AVERAGEIF('Raw Data'!B:B,A10,'Raw Data'!H:H),2)</f>
        <v/>
      </c>
      <c r="H10">
        <f>SUMIF('Raw Data'!B:B,A10,'Raw Data'!I:I)</f>
        <v/>
      </c>
      <c r="I10">
        <f>ROUND(AVERAGEIF('Raw Data'!B:B,A10,'Raw Data'!J:J),1)</f>
        <v/>
      </c>
      <c r="J10">
        <f>ROUND(E10/C10*100,1)</f>
        <v/>
      </c>
      <c r="K10">
        <f>ROUND(D10/C10,0)</f>
        <v/>
      </c>
    </row>
    <row r="11">
      <c r="A11" t="inlineStr">
        <is>
          <t>Vancouver</t>
        </is>
      </c>
      <c r="B11">
        <f>INDEX('Raw Data'!C:C,MATCH(A11,'Raw Data'!B:B,0))</f>
        <v/>
      </c>
      <c r="C11">
        <f>SUMIF('Raw Data'!B:B,A11,'Raw Data'!D:D)</f>
        <v/>
      </c>
      <c r="D11">
        <f>SUMIF('Raw Data'!B:B,A11,'Raw Data'!E:E)</f>
        <v/>
      </c>
      <c r="E11">
        <f>SUMIF('Raw Data'!B:B,A11,'Raw Data'!F:F)</f>
        <v/>
      </c>
      <c r="F11">
        <f>SUMIF('Raw Data'!B:B,A11,'Raw Data'!G:G)</f>
        <v/>
      </c>
      <c r="G11">
        <f>ROUND(AVERAGEIF('Raw Data'!B:B,A11,'Raw Data'!H:H),2)</f>
        <v/>
      </c>
      <c r="H11">
        <f>SUMIF('Raw Data'!B:B,A11,'Raw Data'!I:I)</f>
        <v/>
      </c>
      <c r="I11">
        <f>ROUND(AVERAGEIF('Raw Data'!B:B,A11,'Raw Data'!J:J),1)</f>
        <v/>
      </c>
      <c r="J11">
        <f>ROUND(E11/C11*100,1)</f>
        <v/>
      </c>
      <c r="K11">
        <f>ROUND(D11/C11,0)</f>
        <v/>
      </c>
    </row>
    <row r="12">
      <c r="A12" t="inlineStr">
        <is>
          <t>Marrakech</t>
        </is>
      </c>
      <c r="B12">
        <f>INDEX('Raw Data'!C:C,MATCH(A12,'Raw Data'!B:B,0))</f>
        <v/>
      </c>
      <c r="C12">
        <f>SUMIF('Raw Data'!B:B,A12,'Raw Data'!D:D)</f>
        <v/>
      </c>
      <c r="D12">
        <f>SUMIF('Raw Data'!B:B,A12,'Raw Data'!E:E)</f>
        <v/>
      </c>
      <c r="E12">
        <f>SUMIF('Raw Data'!B:B,A12,'Raw Data'!F:F)</f>
        <v/>
      </c>
      <c r="F12">
        <f>SUMIF('Raw Data'!B:B,A12,'Raw Data'!G:G)</f>
        <v/>
      </c>
      <c r="G12">
        <f>ROUND(AVERAGEIF('Raw Data'!B:B,A12,'Raw Data'!H:H),2)</f>
        <v/>
      </c>
      <c r="H12">
        <f>SUMIF('Raw Data'!B:B,A12,'Raw Data'!I:I)</f>
        <v/>
      </c>
      <c r="I12">
        <f>ROUND(AVERAGEIF('Raw Data'!B:B,A12,'Raw Data'!J:J),1)</f>
        <v/>
      </c>
      <c r="J12">
        <f>ROUND(E12/C12*100,1)</f>
        <v/>
      </c>
      <c r="K12">
        <f>ROUND(D12/C12,0)</f>
        <v/>
      </c>
    </row>
    <row r="13">
      <c r="A13" t="inlineStr">
        <is>
          <t>Queenstown</t>
        </is>
      </c>
      <c r="B13">
        <f>INDEX('Raw Data'!C:C,MATCH(A13,'Raw Data'!B:B,0))</f>
        <v/>
      </c>
      <c r="C13">
        <f>SUMIF('Raw Data'!B:B,A13,'Raw Data'!D:D)</f>
        <v/>
      </c>
      <c r="D13">
        <f>SUMIF('Raw Data'!B:B,A13,'Raw Data'!E:E)</f>
        <v/>
      </c>
      <c r="E13">
        <f>SUMIF('Raw Data'!B:B,A13,'Raw Data'!F:F)</f>
        <v/>
      </c>
      <c r="F13">
        <f>SUMIF('Raw Data'!B:B,A13,'Raw Data'!G:G)</f>
        <v/>
      </c>
      <c r="G13">
        <f>ROUND(AVERAGEIF('Raw Data'!B:B,A13,'Raw Data'!H:H),2)</f>
        <v/>
      </c>
      <c r="H13">
        <f>SUMIF('Raw Data'!B:B,A13,'Raw Data'!I:I)</f>
        <v/>
      </c>
      <c r="I13">
        <f>ROUND(AVERAGEIF('Raw Data'!B:B,A13,'Raw Data'!J:J),1)</f>
        <v/>
      </c>
      <c r="J13">
        <f>ROUND(E13/C13*100,1)</f>
        <v/>
      </c>
      <c r="K13">
        <f>ROUND(D13/C13,0)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Bookings</t>
        </is>
      </c>
      <c r="C1" s="1" t="inlineStr">
        <is>
          <t>Revenue</t>
        </is>
      </c>
      <c r="D1" s="1" t="inlineStr">
        <is>
          <t>Refunds</t>
        </is>
      </c>
      <c r="E1" s="1" t="inlineStr">
        <is>
          <t>Marketing Spend</t>
        </is>
      </c>
      <c r="F1" s="1" t="inlineStr">
        <is>
          <t>Cancellations</t>
        </is>
      </c>
    </row>
    <row r="2">
      <c r="A2" t="inlineStr">
        <is>
          <t>2025-01</t>
        </is>
      </c>
      <c r="B2">
        <f>SUMIF('Raw Data'!A:A,A2,'Raw Data'!D:D)</f>
        <v/>
      </c>
      <c r="C2">
        <f>SUMIF('Raw Data'!A:A,A2,'Raw Data'!E:E)</f>
        <v/>
      </c>
      <c r="D2">
        <f>SUMIF('Raw Data'!A:A,A2,'Raw Data'!F:F)</f>
        <v/>
      </c>
      <c r="E2">
        <f>SUMIF('Raw Data'!A:A,A2,'Raw Data'!G:G)</f>
        <v/>
      </c>
      <c r="F2">
        <f>SUMIF('Raw Data'!A:A,A2,'Raw Data'!I:I)</f>
        <v/>
      </c>
    </row>
    <row r="3">
      <c r="A3" t="inlineStr">
        <is>
          <t>2025-02</t>
        </is>
      </c>
      <c r="B3">
        <f>SUMIF('Raw Data'!A:A,A3,'Raw Data'!D:D)</f>
        <v/>
      </c>
      <c r="C3">
        <f>SUMIF('Raw Data'!A:A,A3,'Raw Data'!E:E)</f>
        <v/>
      </c>
      <c r="D3">
        <f>SUMIF('Raw Data'!A:A,A3,'Raw Data'!F:F)</f>
        <v/>
      </c>
      <c r="E3">
        <f>SUMIF('Raw Data'!A:A,A3,'Raw Data'!G:G)</f>
        <v/>
      </c>
      <c r="F3">
        <f>SUMIF('Raw Data'!A:A,A3,'Raw Data'!I:I)</f>
        <v/>
      </c>
    </row>
    <row r="4">
      <c r="A4" t="inlineStr">
        <is>
          <t>2025-03</t>
        </is>
      </c>
      <c r="B4">
        <f>SUMIF('Raw Data'!A:A,A4,'Raw Data'!D:D)</f>
        <v/>
      </c>
      <c r="C4">
        <f>SUMIF('Raw Data'!A:A,A4,'Raw Data'!E:E)</f>
        <v/>
      </c>
      <c r="D4">
        <f>SUMIF('Raw Data'!A:A,A4,'Raw Data'!F:F)</f>
        <v/>
      </c>
      <c r="E4">
        <f>SUMIF('Raw Data'!A:A,A4,'Raw Data'!G:G)</f>
        <v/>
      </c>
      <c r="F4">
        <f>SUMIF('Raw Data'!A:A,A4,'Raw Data'!I:I)</f>
        <v/>
      </c>
    </row>
    <row r="5">
      <c r="A5" t="inlineStr">
        <is>
          <t>2025-04</t>
        </is>
      </c>
      <c r="B5">
        <f>SUMIF('Raw Data'!A:A,A5,'Raw Data'!D:D)</f>
        <v/>
      </c>
      <c r="C5">
        <f>SUMIF('Raw Data'!A:A,A5,'Raw Data'!E:E)</f>
        <v/>
      </c>
      <c r="D5">
        <f>SUMIF('Raw Data'!A:A,A5,'Raw Data'!F:F)</f>
        <v/>
      </c>
      <c r="E5">
        <f>SUMIF('Raw Data'!A:A,A5,'Raw Data'!G:G)</f>
        <v/>
      </c>
      <c r="F5">
        <f>SUMIF('Raw Data'!A:A,A5,'Raw Data'!I:I)</f>
        <v/>
      </c>
    </row>
    <row r="6">
      <c r="A6" t="inlineStr">
        <is>
          <t>2025-05</t>
        </is>
      </c>
      <c r="B6">
        <f>SUMIF('Raw Data'!A:A,A6,'Raw Data'!D:D)</f>
        <v/>
      </c>
      <c r="C6">
        <f>SUMIF('Raw Data'!A:A,A6,'Raw Data'!E:E)</f>
        <v/>
      </c>
      <c r="D6">
        <f>SUMIF('Raw Data'!A:A,A6,'Raw Data'!F:F)</f>
        <v/>
      </c>
      <c r="E6">
        <f>SUMIF('Raw Data'!A:A,A6,'Raw Data'!G:G)</f>
        <v/>
      </c>
      <c r="F6">
        <f>SUMIF('Raw Data'!A:A,A6,'Raw Data'!I:I)</f>
        <v/>
      </c>
    </row>
    <row r="7">
      <c r="A7" t="inlineStr">
        <is>
          <t>2025-06</t>
        </is>
      </c>
      <c r="B7">
        <f>SUMIF('Raw Data'!A:A,A7,'Raw Data'!D:D)</f>
        <v/>
      </c>
      <c r="C7">
        <f>SUMIF('Raw Data'!A:A,A7,'Raw Data'!E:E)</f>
        <v/>
      </c>
      <c r="D7">
        <f>SUMIF('Raw Data'!A:A,A7,'Raw Data'!F:F)</f>
        <v/>
      </c>
      <c r="E7">
        <f>SUMIF('Raw Data'!A:A,A7,'Raw Data'!G:G)</f>
        <v/>
      </c>
      <c r="F7">
        <f>SUMIF('Raw Data'!A:A,A7,'Raw Data'!I:I)</f>
        <v/>
      </c>
    </row>
    <row r="8">
      <c r="A8" t="inlineStr">
        <is>
          <t>2025-07</t>
        </is>
      </c>
      <c r="B8">
        <f>SUMIF('Raw Data'!A:A,A8,'Raw Data'!D:D)</f>
        <v/>
      </c>
      <c r="C8">
        <f>SUMIF('Raw Data'!A:A,A8,'Raw Data'!E:E)</f>
        <v/>
      </c>
      <c r="D8">
        <f>SUMIF('Raw Data'!A:A,A8,'Raw Data'!F:F)</f>
        <v/>
      </c>
      <c r="E8">
        <f>SUMIF('Raw Data'!A:A,A8,'Raw Data'!G:G)</f>
        <v/>
      </c>
      <c r="F8">
        <f>SUMIF('Raw Data'!A:A,A8,'Raw Data'!I:I)</f>
        <v/>
      </c>
    </row>
    <row r="9">
      <c r="A9" t="inlineStr">
        <is>
          <t>2025-08</t>
        </is>
      </c>
      <c r="B9">
        <f>SUMIF('Raw Data'!A:A,A9,'Raw Data'!D:D)</f>
        <v/>
      </c>
      <c r="C9">
        <f>SUMIF('Raw Data'!A:A,A9,'Raw Data'!E:E)</f>
        <v/>
      </c>
      <c r="D9">
        <f>SUMIF('Raw Data'!A:A,A9,'Raw Data'!F:F)</f>
        <v/>
      </c>
      <c r="E9">
        <f>SUMIF('Raw Data'!A:A,A9,'Raw Data'!G:G)</f>
        <v/>
      </c>
      <c r="F9">
        <f>SUMIF('Raw Data'!A:A,A9,'Raw Data'!I:I)</f>
        <v/>
      </c>
    </row>
    <row r="10">
      <c r="A10" t="inlineStr">
        <is>
          <t>2025-09</t>
        </is>
      </c>
      <c r="B10">
        <f>SUMIF('Raw Data'!A:A,A10,'Raw Data'!D:D)</f>
        <v/>
      </c>
      <c r="C10">
        <f>SUMIF('Raw Data'!A:A,A10,'Raw Data'!E:E)</f>
        <v/>
      </c>
      <c r="D10">
        <f>SUMIF('Raw Data'!A:A,A10,'Raw Data'!F:F)</f>
        <v/>
      </c>
      <c r="E10">
        <f>SUMIF('Raw Data'!A:A,A10,'Raw Data'!G:G)</f>
        <v/>
      </c>
      <c r="F10">
        <f>SUMIF('Raw Data'!A:A,A10,'Raw Data'!I:I)</f>
        <v/>
      </c>
    </row>
    <row r="11">
      <c r="A11" t="inlineStr">
        <is>
          <t>2025-10</t>
        </is>
      </c>
      <c r="B11">
        <f>SUMIF('Raw Data'!A:A,A11,'Raw Data'!D:D)</f>
        <v/>
      </c>
      <c r="C11">
        <f>SUMIF('Raw Data'!A:A,A11,'Raw Data'!E:E)</f>
        <v/>
      </c>
      <c r="D11">
        <f>SUMIF('Raw Data'!A:A,A11,'Raw Data'!F:F)</f>
        <v/>
      </c>
      <c r="E11">
        <f>SUMIF('Raw Data'!A:A,A11,'Raw Data'!G:G)</f>
        <v/>
      </c>
      <c r="F11">
        <f>SUMIF('Raw Data'!A:A,A11,'Raw Data'!I:I)</f>
        <v/>
      </c>
    </row>
    <row r="12">
      <c r="A12" t="inlineStr">
        <is>
          <t>2025-11</t>
        </is>
      </c>
      <c r="B12">
        <f>SUMIF('Raw Data'!A:A,A12,'Raw Data'!D:D)</f>
        <v/>
      </c>
      <c r="C12">
        <f>SUMIF('Raw Data'!A:A,A12,'Raw Data'!E:E)</f>
        <v/>
      </c>
      <c r="D12">
        <f>SUMIF('Raw Data'!A:A,A12,'Raw Data'!F:F)</f>
        <v/>
      </c>
      <c r="E12">
        <f>SUMIF('Raw Data'!A:A,A12,'Raw Data'!G:G)</f>
        <v/>
      </c>
      <c r="F12">
        <f>SUMIF('Raw Data'!A:A,A12,'Raw Data'!I:I)</f>
        <v/>
      </c>
    </row>
    <row r="13">
      <c r="A13" t="inlineStr">
        <is>
          <t>2025-12</t>
        </is>
      </c>
      <c r="B13">
        <f>SUMIF('Raw Data'!A:A,A13,'Raw Data'!D:D)</f>
        <v/>
      </c>
      <c r="C13">
        <f>SUMIF('Raw Data'!A:A,A13,'Raw Data'!E:E)</f>
        <v/>
      </c>
      <c r="D13">
        <f>SUMIF('Raw Data'!A:A,A13,'Raw Data'!F:F)</f>
        <v/>
      </c>
      <c r="E13">
        <f>SUMIF('Raw Data'!A:A,A13,'Raw Data'!G:G)</f>
        <v/>
      </c>
      <c r="F13">
        <f>SUMIF('Raw Data'!A:A,A13,'Raw Data'!I:I)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Bookings</t>
        </is>
      </c>
      <c r="B2">
        <f>SUM('Raw Data'!D:D)</f>
        <v/>
      </c>
      <c r="C2" t="inlineStr">
        <is>
          <t>Annual demand</t>
        </is>
      </c>
    </row>
    <row r="3">
      <c r="A3" t="inlineStr">
        <is>
          <t>Gross Revenue</t>
        </is>
      </c>
      <c r="B3">
        <f>SUM('Raw Data'!E:E)</f>
        <v/>
      </c>
      <c r="C3" t="inlineStr">
        <is>
          <t>Total revenue before refunds</t>
        </is>
      </c>
    </row>
    <row r="4">
      <c r="A4" t="inlineStr">
        <is>
          <t>Total Refunds</t>
        </is>
      </c>
      <c r="B4">
        <f>SUM('Raw Data'!F:F)</f>
        <v/>
      </c>
      <c r="C4" t="inlineStr"/>
    </row>
    <row r="5">
      <c r="A5" t="inlineStr">
        <is>
          <t>Refund % of Revenue</t>
        </is>
      </c>
      <c r="B5">
        <f>ROUND(C3/C4*100,2)</f>
        <v/>
      </c>
      <c r="C5" t="inlineStr"/>
    </row>
    <row r="6">
      <c r="A6" t="inlineStr">
        <is>
          <t>Marketing Spend</t>
        </is>
      </c>
      <c r="B6">
        <f>SUM('Raw Data'!G:G)</f>
        <v/>
      </c>
      <c r="C6" t="inlineStr"/>
    </row>
    <row r="7">
      <c r="A7" t="inlineStr">
        <is>
          <t>Marketing % of Revenue</t>
        </is>
      </c>
      <c r="B7">
        <f>ROUND(C5/C4*100,2)</f>
        <v/>
      </c>
      <c r="C7" t="inlineStr"/>
    </row>
    <row r="8">
      <c r="A8" t="inlineStr">
        <is>
          <t>Total Cancellations</t>
        </is>
      </c>
      <c r="B8">
        <f>SUM('Raw Data'!I:I)</f>
        <v/>
      </c>
      <c r="C8" t="inlineStr"/>
    </row>
    <row r="9">
      <c r="A9" t="inlineStr">
        <is>
          <t>Cancel % of Bookings</t>
        </is>
      </c>
      <c r="B9">
        <f>ROUND(C7/C2*100,2)</f>
        <v/>
      </c>
      <c r="C9" t="inlineStr"/>
    </row>
    <row r="10">
      <c r="A10" t="inlineStr">
        <is>
          <t>Avg Customer Rating</t>
        </is>
      </c>
      <c r="B10">
        <f>ROUND(AVERAGE('Raw Data'!H:H),2)</f>
        <v/>
      </c>
      <c r="C10" t="inlineStr"/>
    </row>
    <row r="11">
      <c r="A11" t="inlineStr">
        <is>
          <t>Avg Trip Days</t>
        </is>
      </c>
      <c r="B11">
        <f>ROUND(AVERAGE('Raw Data'!J:J),1)</f>
        <v/>
      </c>
      <c r="C11" t="inlineStr"/>
    </row>
    <row r="12">
      <c r="A12" t="inlineStr">
        <is>
          <t>Revenue per Booking</t>
        </is>
      </c>
      <c r="B12">
        <f>ROUND(C4/C2,0)</f>
        <v/>
      </c>
      <c r="C12" t="inlineStr">
        <is>
          <t>Yield proxy</t>
        </is>
      </c>
    </row>
    <row r="13">
      <c r="A13" t="inlineStr">
        <is>
          <t>Best Month (Revenue)</t>
        </is>
      </c>
      <c r="C13" t="inlineStr">
        <is>
          <t>Apr 2025 / $18.0M</t>
        </is>
      </c>
    </row>
    <row r="14">
      <c r="A14" t="inlineStr">
        <is>
          <t>Best Yield Destination</t>
        </is>
      </c>
      <c r="C14" t="inlineStr">
        <is>
          <t>Vancouver / $1,878 per 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2026-08-20T11:42:00Z</dcterms:created>
  <dcterms:modified xsi:type="dcterms:W3CDTF">2026-08-20T11:42:00Z</dcterms:modified>
</cp:coreProperties>
</file>